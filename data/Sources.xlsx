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fnonwovens-my.sharepoint.com/personal/mfischer_pfnonwovens_com/Documents/Desktop/mini-erp-node/data/"/>
    </mc:Choice>
  </mc:AlternateContent>
  <xr:revisionPtr revIDLastSave="65" documentId="8_{66A118C3-EF46-4704-A6DB-C24509B266D7}" xr6:coauthVersionLast="47" xr6:coauthVersionMax="47" xr10:uidLastSave="{0ECF8CCB-948B-44AE-922D-560B6C578378}"/>
  <bookViews>
    <workbookView xWindow="33555" yWindow="-9315" windowWidth="21600" windowHeight="12585" xr2:uid="{B924FA10-533B-4C07-A917-FCB6B882FB42}"/>
  </bookViews>
  <sheets>
    <sheet name="Lists" sheetId="1" r:id="rId1"/>
    <sheet name="Calc" sheetId="2" r:id="rId2"/>
  </sheets>
  <externalReferences>
    <externalReference r:id="rId3"/>
  </externalReferences>
  <definedNames>
    <definedName name="list_additive">Additive[Additive]</definedName>
    <definedName name="list_mb">MB[MB]</definedName>
    <definedName name="list_pigment">Pigment[Pigment]</definedName>
    <definedName name="list_sb">SB[SB]</definedName>
    <definedName name="list_surf_conc">Surfactant[Surf_conc.]</definedName>
    <definedName name="list_surfactant">Surfactant[Surfactant]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2" l="1"/>
  <c r="E24" i="2" s="1"/>
  <c r="K28" i="2" s="1"/>
  <c r="C25" i="2"/>
  <c r="E25" i="2" s="1"/>
  <c r="L28" i="2" s="1"/>
  <c r="C23" i="2"/>
  <c r="E23" i="2" s="1"/>
  <c r="J28" i="2" s="1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J15" i="2"/>
  <c r="I15" i="2"/>
  <c r="H15" i="2"/>
  <c r="N13" i="2"/>
  <c r="M13" i="2"/>
  <c r="L13" i="2"/>
  <c r="G13" i="2"/>
  <c r="F13" i="2"/>
  <c r="N11" i="2"/>
  <c r="M11" i="2"/>
  <c r="L11" i="2"/>
  <c r="F11" i="2"/>
  <c r="E11" i="2"/>
  <c r="D11" i="2"/>
  <c r="C11" i="2"/>
  <c r="N9" i="2"/>
  <c r="M9" i="2"/>
  <c r="L9" i="2"/>
  <c r="F9" i="2"/>
  <c r="E9" i="2"/>
  <c r="D9" i="2"/>
  <c r="C9" i="2"/>
  <c r="N8" i="2"/>
  <c r="L8" i="2"/>
  <c r="F8" i="2"/>
  <c r="D8" i="2"/>
  <c r="O5" i="2"/>
  <c r="C6" i="2" s="1"/>
  <c r="M6" i="2" l="1"/>
  <c r="E6" i="2"/>
  <c r="G6" i="2"/>
  <c r="H6" i="2"/>
  <c r="I6" i="2"/>
  <c r="J6" i="2"/>
  <c r="K6" i="2"/>
  <c r="C28" i="2" l="1"/>
  <c r="O6" i="2"/>
  <c r="I28" i="2"/>
  <c r="I29" i="2" s="1"/>
  <c r="A28" i="2"/>
  <c r="F28" i="2"/>
  <c r="F29" i="2" s="1"/>
  <c r="D28" i="2"/>
  <c r="H28" i="2"/>
  <c r="H29" i="2" s="1"/>
  <c r="E28" i="2"/>
  <c r="E29" i="2" s="1"/>
  <c r="G28" i="2"/>
  <c r="G29" i="2" s="1"/>
  <c r="B28" i="2"/>
  <c r="A29" i="2" l="1"/>
</calcChain>
</file>

<file path=xl/sharedStrings.xml><?xml version="1.0" encoding="utf-8"?>
<sst xmlns="http://schemas.openxmlformats.org/spreadsheetml/2006/main" count="501" uniqueCount="451">
  <si>
    <t>SB1</t>
  </si>
  <si>
    <t>MB1</t>
  </si>
  <si>
    <t>Color</t>
  </si>
  <si>
    <t>Additive</t>
  </si>
  <si>
    <t>Customer</t>
  </si>
  <si>
    <t>S/SMS</t>
  </si>
  <si>
    <t>Structure</t>
  </si>
  <si>
    <t>Bonding</t>
  </si>
  <si>
    <t>Treatment</t>
  </si>
  <si>
    <t>Cores</t>
  </si>
  <si>
    <t>Application</t>
  </si>
  <si>
    <t>3group</t>
  </si>
  <si>
    <t>agro</t>
  </si>
  <si>
    <t>MB</t>
  </si>
  <si>
    <t>Bico</t>
  </si>
  <si>
    <t>CS</t>
  </si>
  <si>
    <t>L-modu</t>
  </si>
  <si>
    <t>AirThrough</t>
  </si>
  <si>
    <t>030/70</t>
  </si>
  <si>
    <t>antistatic</t>
  </si>
  <si>
    <t>0 - natur</t>
  </si>
  <si>
    <t>1,57˝</t>
  </si>
  <si>
    <t>CZ01</t>
  </si>
  <si>
    <t>ATS</t>
  </si>
  <si>
    <t>3M</t>
  </si>
  <si>
    <t>automotive</t>
  </si>
  <si>
    <t>S</t>
  </si>
  <si>
    <t>bio Bico</t>
  </si>
  <si>
    <t>eCS</t>
  </si>
  <si>
    <t>L-modu/Slip</t>
  </si>
  <si>
    <t>040/60</t>
  </si>
  <si>
    <t>B2</t>
  </si>
  <si>
    <t>100 - white</t>
  </si>
  <si>
    <t>2,79˝</t>
  </si>
  <si>
    <t>CZ02</t>
  </si>
  <si>
    <t>BEL</t>
  </si>
  <si>
    <t>Agrimpex</t>
  </si>
  <si>
    <t>hygiene</t>
  </si>
  <si>
    <t>SM</t>
  </si>
  <si>
    <t>Mono</t>
  </si>
  <si>
    <t>mPP</t>
  </si>
  <si>
    <t>G - Pyramid / Diamond</t>
  </si>
  <si>
    <t>050/50</t>
  </si>
  <si>
    <t>hydrophilic</t>
  </si>
  <si>
    <t>106 - white</t>
  </si>
  <si>
    <t>3,00˝</t>
  </si>
  <si>
    <t>CZ03</t>
  </si>
  <si>
    <t>BLC</t>
  </si>
  <si>
    <t>Aliance-Market</t>
  </si>
  <si>
    <t>medical</t>
  </si>
  <si>
    <t>SMM</t>
  </si>
  <si>
    <t>SS</t>
  </si>
  <si>
    <t>PE</t>
  </si>
  <si>
    <t>055/45</t>
  </si>
  <si>
    <t>hydrophilic+Aloe</t>
  </si>
  <si>
    <t>112 - white</t>
  </si>
  <si>
    <t>6,00˝</t>
  </si>
  <si>
    <t>CZ05</t>
  </si>
  <si>
    <t>BLC AMB 1.0</t>
  </si>
  <si>
    <t>Attends</t>
  </si>
  <si>
    <t>technical</t>
  </si>
  <si>
    <t>SMS</t>
  </si>
  <si>
    <t>PET/PE</t>
  </si>
  <si>
    <t>G02 - Softbond</t>
  </si>
  <si>
    <t>060/40</t>
  </si>
  <si>
    <t>hydrophilic+Aloe+vitE</t>
  </si>
  <si>
    <t>113 - white</t>
  </si>
  <si>
    <t>6,75˝</t>
  </si>
  <si>
    <t>CZ07</t>
  </si>
  <si>
    <t>BLC AMB 1.5</t>
  </si>
  <si>
    <t>BTL</t>
  </si>
  <si>
    <t>PLA</t>
  </si>
  <si>
    <t>G04 - P14 Leapfrog</t>
  </si>
  <si>
    <t>065/35</t>
  </si>
  <si>
    <t>hydrophilic+skincare</t>
  </si>
  <si>
    <t>114 - white</t>
  </si>
  <si>
    <t>CZ08</t>
  </si>
  <si>
    <t>BLC AMB 2.0</t>
  </si>
  <si>
    <t>Buum</t>
  </si>
  <si>
    <t>070/30</t>
  </si>
  <si>
    <t>hydrophobic</t>
  </si>
  <si>
    <t>115 - white</t>
  </si>
  <si>
    <t>CZ09</t>
  </si>
  <si>
    <t>BS</t>
  </si>
  <si>
    <t>Charvát</t>
  </si>
  <si>
    <t>PLA/bioPE</t>
  </si>
  <si>
    <t>G06 - Softbond 2 Prime</t>
  </si>
  <si>
    <t>080/20</t>
  </si>
  <si>
    <t>no treatment</t>
  </si>
  <si>
    <t>200 - yellow</t>
  </si>
  <si>
    <t>CZ10</t>
  </si>
  <si>
    <t>Cleopatra</t>
  </si>
  <si>
    <t>PLA/PE</t>
  </si>
  <si>
    <t>100/00</t>
  </si>
  <si>
    <t>UV</t>
  </si>
  <si>
    <t>300 - red</t>
  </si>
  <si>
    <t>CZ11</t>
  </si>
  <si>
    <t>CW</t>
  </si>
  <si>
    <t>Comstry Trading</t>
  </si>
  <si>
    <t>PP</t>
  </si>
  <si>
    <t>UV + FR</t>
  </si>
  <si>
    <t>301 - pink</t>
  </si>
  <si>
    <t>CZ12</t>
  </si>
  <si>
    <t xml:space="preserve">DL </t>
  </si>
  <si>
    <t>Condomed</t>
  </si>
  <si>
    <t>PP/bioPE</t>
  </si>
  <si>
    <t>G10 - Antifuzz</t>
  </si>
  <si>
    <t>UV + HFB</t>
  </si>
  <si>
    <t>302 - red</t>
  </si>
  <si>
    <t>EG01</t>
  </si>
  <si>
    <t>Ear</t>
  </si>
  <si>
    <t>Corplex</t>
  </si>
  <si>
    <t>PP/mPP</t>
  </si>
  <si>
    <t>Gxx - Open Dot</t>
  </si>
  <si>
    <t>zoned philic</t>
  </si>
  <si>
    <t>303 - pink</t>
  </si>
  <si>
    <t>ZA01</t>
  </si>
  <si>
    <t>LF BS</t>
  </si>
  <si>
    <t>CPS Company</t>
  </si>
  <si>
    <t>PP/PE</t>
  </si>
  <si>
    <t>antistatic+alcohol repellent</t>
  </si>
  <si>
    <t>304 - pink</t>
  </si>
  <si>
    <t>ZA02</t>
  </si>
  <si>
    <t>LF TS</t>
  </si>
  <si>
    <t>Dina-Hytex</t>
  </si>
  <si>
    <t>PP/PLA</t>
  </si>
  <si>
    <t>305 - pink</t>
  </si>
  <si>
    <t>NWLZ</t>
  </si>
  <si>
    <t>Domtar</t>
  </si>
  <si>
    <t>PP/PP</t>
  </si>
  <si>
    <t>400 - blue</t>
  </si>
  <si>
    <t>Pads</t>
  </si>
  <si>
    <t>Drylock</t>
  </si>
  <si>
    <t>PP/regranulat</t>
  </si>
  <si>
    <t>401 - blue</t>
  </si>
  <si>
    <t>PATS</t>
  </si>
  <si>
    <t>ECOBINT</t>
  </si>
  <si>
    <t>Slip</t>
  </si>
  <si>
    <t>402 - blue</t>
  </si>
  <si>
    <t>Spacer</t>
  </si>
  <si>
    <t>Estilguru</t>
  </si>
  <si>
    <t>Softblend</t>
  </si>
  <si>
    <t>403 - blue</t>
  </si>
  <si>
    <t>TS</t>
  </si>
  <si>
    <t>Fandaro</t>
  </si>
  <si>
    <t>Vistamaxx/Slip</t>
  </si>
  <si>
    <t>404 - blue</t>
  </si>
  <si>
    <t>Fatra</t>
  </si>
  <si>
    <t>405 - blue</t>
  </si>
  <si>
    <t>Ficosota</t>
  </si>
  <si>
    <t>408 - blue</t>
  </si>
  <si>
    <t>Filc</t>
  </si>
  <si>
    <t>409 - blue</t>
  </si>
  <si>
    <t>FLM Green Group</t>
  </si>
  <si>
    <t>411 - blue</t>
  </si>
  <si>
    <t>Focus</t>
  </si>
  <si>
    <t>415 - blue</t>
  </si>
  <si>
    <t>Focus &amp; Co.</t>
  </si>
  <si>
    <t>417 - blue</t>
  </si>
  <si>
    <t>Folnex</t>
  </si>
  <si>
    <t>418 - blue</t>
  </si>
  <si>
    <t>FQ</t>
  </si>
  <si>
    <t>420 - blue</t>
  </si>
  <si>
    <t>Freudenberg</t>
  </si>
  <si>
    <t>421 - blue</t>
  </si>
  <si>
    <t>GBP SPEDIMPEX SRL</t>
  </si>
  <si>
    <t>422 - blue</t>
  </si>
  <si>
    <t>Guangdong bordar</t>
  </si>
  <si>
    <t>423 - blue</t>
  </si>
  <si>
    <t>Hartmann</t>
  </si>
  <si>
    <t>425 - blue</t>
  </si>
  <si>
    <t>Hayat</t>
  </si>
  <si>
    <t>426 - blue</t>
  </si>
  <si>
    <t>Holtex</t>
  </si>
  <si>
    <t>430 - blue</t>
  </si>
  <si>
    <t>Hygienika</t>
  </si>
  <si>
    <t>431 - blue</t>
  </si>
  <si>
    <t>Indutex</t>
  </si>
  <si>
    <t>432 - blue</t>
  </si>
  <si>
    <t>INTERFORM DDO</t>
  </si>
  <si>
    <t>433 - blue</t>
  </si>
  <si>
    <t>Jilana</t>
  </si>
  <si>
    <t>434 - blue</t>
  </si>
  <si>
    <t>Juta</t>
  </si>
  <si>
    <t>435 - blue</t>
  </si>
  <si>
    <t>Kaschier und Laminier</t>
  </si>
  <si>
    <t>500 - green</t>
  </si>
  <si>
    <t>K-C</t>
  </si>
  <si>
    <t>501 - green</t>
  </si>
  <si>
    <t>Krok</t>
  </si>
  <si>
    <t>505 - green</t>
  </si>
  <si>
    <t>Lacuna</t>
  </si>
  <si>
    <t>506 - green</t>
  </si>
  <si>
    <t>Lantor</t>
  </si>
  <si>
    <t>510 - green</t>
  </si>
  <si>
    <t>LMDiapers</t>
  </si>
  <si>
    <t>515 - green</t>
  </si>
  <si>
    <t>Looping Star</t>
  </si>
  <si>
    <t>516 - green</t>
  </si>
  <si>
    <t>Makhlouf sons Plastic</t>
  </si>
  <si>
    <t>517 - green</t>
  </si>
  <si>
    <t>Marelli</t>
  </si>
  <si>
    <t>519 - green</t>
  </si>
  <si>
    <t>Medicafilter</t>
  </si>
  <si>
    <t>520 - green</t>
  </si>
  <si>
    <t xml:space="preserve">Medical Packaging </t>
  </si>
  <si>
    <t>521 - green</t>
  </si>
  <si>
    <t>Medline</t>
  </si>
  <si>
    <t>522 - green</t>
  </si>
  <si>
    <t>Mondi</t>
  </si>
  <si>
    <t>523 - green</t>
  </si>
  <si>
    <t>Mondi - Štětí</t>
  </si>
  <si>
    <t>524 - green</t>
  </si>
  <si>
    <t>Namar</t>
  </si>
  <si>
    <t>525 - green</t>
  </si>
  <si>
    <t>Nanotex</t>
  </si>
  <si>
    <t>600 - beige</t>
  </si>
  <si>
    <t>Naty</t>
  </si>
  <si>
    <t>603 - brown</t>
  </si>
  <si>
    <t>Němec Trade</t>
  </si>
  <si>
    <t>700 - black</t>
  </si>
  <si>
    <t>Neratov</t>
  </si>
  <si>
    <t>701 - black</t>
  </si>
  <si>
    <t>Nezávislý zákazník</t>
  </si>
  <si>
    <t>702 - black</t>
  </si>
  <si>
    <t>NNZ</t>
  </si>
  <si>
    <t>703 - black</t>
  </si>
  <si>
    <t>Norafin</t>
  </si>
  <si>
    <t>706 - black</t>
  </si>
  <si>
    <t>Npride</t>
  </si>
  <si>
    <t>708 - grey</t>
  </si>
  <si>
    <t>ONTEX</t>
  </si>
  <si>
    <t>709 - black</t>
  </si>
  <si>
    <t>P&amp;G</t>
  </si>
  <si>
    <t>712 - black</t>
  </si>
  <si>
    <t>Paksel</t>
  </si>
  <si>
    <t>713 - grey</t>
  </si>
  <si>
    <t>Panep</t>
  </si>
  <si>
    <t>714 - grey</t>
  </si>
  <si>
    <t>Panomik</t>
  </si>
  <si>
    <t>716 - grey</t>
  </si>
  <si>
    <t>Pantex</t>
  </si>
  <si>
    <t>800 - purple</t>
  </si>
  <si>
    <t>Paphosa</t>
  </si>
  <si>
    <t>801 - purple</t>
  </si>
  <si>
    <t>PFN</t>
  </si>
  <si>
    <t>802 - purple</t>
  </si>
  <si>
    <t>Plastica</t>
  </si>
  <si>
    <t>803 - purple</t>
  </si>
  <si>
    <t>Poirino</t>
  </si>
  <si>
    <t>900 - orange</t>
  </si>
  <si>
    <t>Polysistems</t>
  </si>
  <si>
    <t>202 - orange</t>
  </si>
  <si>
    <t>Primaplast</t>
  </si>
  <si>
    <t>604 - beige</t>
  </si>
  <si>
    <t>Promtkan</t>
  </si>
  <si>
    <t>RKW</t>
  </si>
  <si>
    <t>Schreiner</t>
  </si>
  <si>
    <t>SPUR</t>
  </si>
  <si>
    <t>Strong Chains</t>
  </si>
  <si>
    <t>Suominen</t>
  </si>
  <si>
    <t>Tessara</t>
  </si>
  <si>
    <t>Texsus</t>
  </si>
  <si>
    <t>TZMO</t>
  </si>
  <si>
    <t>Unicharm</t>
  </si>
  <si>
    <t>Valeti-61</t>
  </si>
  <si>
    <t>Web</t>
  </si>
  <si>
    <t>WH Brady</t>
  </si>
  <si>
    <t>SB</t>
  </si>
  <si>
    <t>Pigment</t>
  </si>
  <si>
    <t>Surfactant</t>
  </si>
  <si>
    <t>Surf_conc.</t>
  </si>
  <si>
    <t>Segment</t>
  </si>
  <si>
    <t>Mono/Bico</t>
  </si>
  <si>
    <t>Main RawMat</t>
  </si>
  <si>
    <t>Line</t>
  </si>
  <si>
    <t>n.a.</t>
  </si>
  <si>
    <t>full</t>
  </si>
  <si>
    <t>PPSB - Sabic PP 576P</t>
  </si>
  <si>
    <t>PET - XPURE 701 K</t>
  </si>
  <si>
    <t>PPSB - Exxon 3155</t>
  </si>
  <si>
    <t>PPMF - Lucene MH7700S</t>
  </si>
  <si>
    <t>PPMF - MR 2001</t>
  </si>
  <si>
    <t>PPMF - MR 2002</t>
  </si>
  <si>
    <t>PPSB - Borflow HG455FB</t>
  </si>
  <si>
    <t>PPSB - Borflow HG475FB</t>
  </si>
  <si>
    <t>PPSB - Borflow HH450FB</t>
  </si>
  <si>
    <t>PPSB - Moplen HP 552R</t>
  </si>
  <si>
    <t>PPSB - Moplen HP561R</t>
  </si>
  <si>
    <t>PPSB - Moplen RP348R</t>
  </si>
  <si>
    <t>PPSB - Mosten NB 425</t>
  </si>
  <si>
    <t>PPSB - PPH 9099 (BAG25)</t>
  </si>
  <si>
    <t>PPSB - Sasol HSV903</t>
  </si>
  <si>
    <t>Regranulát MIX</t>
  </si>
  <si>
    <t>PE - Aspun 6834</t>
  </si>
  <si>
    <t>PE - Aspun 6850</t>
  </si>
  <si>
    <t>PE - Liten LS87</t>
  </si>
  <si>
    <t>PET - RT 5032</t>
  </si>
  <si>
    <t>PET - Xpure V062</t>
  </si>
  <si>
    <t>PLA - Ingeo 6100D</t>
  </si>
  <si>
    <t>PLA - Ingeo 6752D</t>
  </si>
  <si>
    <t>PPSB - 3684HL</t>
  </si>
  <si>
    <t>PPSB - Tatren HS 25 52</t>
  </si>
  <si>
    <t>PPSB - Sabic PP 511A</t>
  </si>
  <si>
    <t>PPSB - Sabic PP 512P</t>
  </si>
  <si>
    <t>PPSB - Sabic PP 519A</t>
  </si>
  <si>
    <t>PE - Bio HDPE SHA 7260</t>
  </si>
  <si>
    <t>Pig - Poly One CC10031739 BG</t>
  </si>
  <si>
    <t>Pig - Remafin green PP62001107</t>
  </si>
  <si>
    <t>Pig - CC10088421BG zelená</t>
  </si>
  <si>
    <t>Pig - CC10031739BG</t>
  </si>
  <si>
    <t>Pig - CC10031739BG green</t>
  </si>
  <si>
    <t>Pig - CC10035377BG blue</t>
  </si>
  <si>
    <t>Pig - CC10061760BG blue</t>
  </si>
  <si>
    <t>Pig - CC10066954BG blue</t>
  </si>
  <si>
    <t>Pig - CC10084467BG bílá 60%</t>
  </si>
  <si>
    <t>Pig - CC10085478BG green</t>
  </si>
  <si>
    <t>Pig - CC10088412BG zelená</t>
  </si>
  <si>
    <t>Pig - CC10094850BG modrá</t>
  </si>
  <si>
    <t>Pig - M-Color černý 80870 PP 7%</t>
  </si>
  <si>
    <t>Pig - M-Color modrý 50 756 PP</t>
  </si>
  <si>
    <t>Pig - M-Color modrý 50 776 PP</t>
  </si>
  <si>
    <t>Pig - M-Color šedý 80 550/27PP</t>
  </si>
  <si>
    <t>Pig - Remafin Blue APD 195</t>
  </si>
  <si>
    <t>Pig - Remafin Blue APH 255</t>
  </si>
  <si>
    <t>Pig - Sanylene Black PP-FWP 40NN GR</t>
  </si>
  <si>
    <t>Pig - Sanylene Blue PP53001360</t>
  </si>
  <si>
    <t>Pig - Sanylene Green PP62001107</t>
  </si>
  <si>
    <t>Pig - Sanylene White PP-RC 70% GR</t>
  </si>
  <si>
    <t>Pig - SCC 20SAM01113</t>
  </si>
  <si>
    <t>Pig - SCC 31438 Presto Green</t>
  </si>
  <si>
    <t>Pig - SCC 86906 Peach 475</t>
  </si>
  <si>
    <t>Pig - SCC 88938 Úhlava Pink</t>
  </si>
  <si>
    <t>Pig - SCC 88939 Thaya Blue</t>
  </si>
  <si>
    <t>Pig - SCC 90189 oranžová- Pant7579c</t>
  </si>
  <si>
    <t>Pig - CC10007659BG bílá 60% na PE</t>
  </si>
  <si>
    <t>Pig - CC10078118BG purple</t>
  </si>
  <si>
    <t>Pig - CC10262795BG green</t>
  </si>
  <si>
    <t>Pig - Sanylen Violett PP42000634</t>
  </si>
  <si>
    <t>Pig - SCC 90386 beige, Pant4665/4667</t>
  </si>
  <si>
    <t>Pig - REMAFIN GREEN PP63076317-ZT</t>
  </si>
  <si>
    <t>Pig - SCC 88351 black, 35%</t>
  </si>
  <si>
    <t>Pig - Remafin Black PP9EDR13425 (10%di)</t>
  </si>
  <si>
    <t>Pig - REMAFIN VERDE GG-AP- PP6CAA12020</t>
  </si>
  <si>
    <t>Pig - SCC 79453 white, 70% TiO2</t>
  </si>
  <si>
    <t>Pig - SCC 32986 optical brightener</t>
  </si>
  <si>
    <t>Pig - Remafin Green PP63076317</t>
  </si>
  <si>
    <t xml:space="preserve">Pig - SCC 39547 CaCO3/TiO2 </t>
  </si>
  <si>
    <t>Pig - SCC 24SAM0697 blue</t>
  </si>
  <si>
    <t>Pig - MB: SCC 24SAM0698 blue</t>
  </si>
  <si>
    <t>Add - Argutec HYL 1074 PP</t>
  </si>
  <si>
    <t>Add - Makrostab Thermo 2069 Mosten</t>
  </si>
  <si>
    <t>Add - PP L-modu S400</t>
  </si>
  <si>
    <t>Add - SCC 32986 optical brightener</t>
  </si>
  <si>
    <t>Add - SCC 89511 Stancarb Fibermaxx</t>
  </si>
  <si>
    <t>Add - Vistamaxx 6202</t>
  </si>
  <si>
    <t>Add - S-2902</t>
  </si>
  <si>
    <t>Add - PP 3854HL</t>
  </si>
  <si>
    <t>Add - Vistamaxx 7050BF</t>
  </si>
  <si>
    <t>Add - CC10098935BG slip ad. 10%Eruc.</t>
  </si>
  <si>
    <t>Add - Triospun Dry 6630-03</t>
  </si>
  <si>
    <t>PPSB - Moplen RP261S</t>
  </si>
  <si>
    <t>Add - Arguflame FR 52 PP</t>
  </si>
  <si>
    <t>Add - Arguvin UV 392 PP</t>
  </si>
  <si>
    <t>Add - Cesa Slip PPA 0050079</t>
  </si>
  <si>
    <t>Add - Cesa Slip PPA 0050442 PG</t>
  </si>
  <si>
    <t>Add - UV Makrostab 2022/IT700 MB</t>
  </si>
  <si>
    <t>Add - UV Makrostab 2022/PP IT 27</t>
  </si>
  <si>
    <t>Add - UV retar Makroflam FR 7019</t>
  </si>
  <si>
    <t>Surf - Aloe Vera - powder 200x</t>
  </si>
  <si>
    <t>Surf - Cirrasol PP862</t>
  </si>
  <si>
    <t>Surf - Nu Wet 237- filní aviváž</t>
  </si>
  <si>
    <t>Surf - Nu Wet 550- filní aviváž</t>
  </si>
  <si>
    <t>Surf - Polyfix N-FC</t>
  </si>
  <si>
    <t>Surf - Sweet Almond Extract PS NA22237</t>
  </si>
  <si>
    <t>Surf - Silastol Care T- Vitamine E</t>
  </si>
  <si>
    <t>Surf - Eco Cirrasol Care</t>
  </si>
  <si>
    <t>Surf - Silastol Care E- Vitamine E</t>
  </si>
  <si>
    <t xml:space="preserve">Surf - Silastol Care Almond </t>
  </si>
  <si>
    <t>Surf - Lurol AMD</t>
  </si>
  <si>
    <t>Surf - Silastol 163</t>
  </si>
  <si>
    <t>Surf - Silastol GF 16</t>
  </si>
  <si>
    <t>Surf - Silastol PHP 207</t>
  </si>
  <si>
    <t>Surf - Silastol PHP 26</t>
  </si>
  <si>
    <t>Surf - Silastol PHP 28</t>
  </si>
  <si>
    <t>Surf - Silastol PHP 90</t>
  </si>
  <si>
    <t>Surf - Stantex S 6327</t>
  </si>
  <si>
    <t>Surf - Duron 4099</t>
  </si>
  <si>
    <t>Surf - Texcare SRN 170 SG Terra</t>
  </si>
  <si>
    <t>G09 - Tulip</t>
  </si>
  <si>
    <t>G01 - Oval</t>
  </si>
  <si>
    <t>G05 - Wavy (NWLZ)</t>
  </si>
  <si>
    <t>G08 - Honeycombs</t>
  </si>
  <si>
    <t>Consumption to make</t>
  </si>
  <si>
    <t>kg NW</t>
  </si>
  <si>
    <t>Beam:</t>
  </si>
  <si>
    <t>A</t>
  </si>
  <si>
    <t>B</t>
  </si>
  <si>
    <t>C</t>
  </si>
  <si>
    <t>D</t>
  </si>
  <si>
    <t>E</t>
  </si>
  <si>
    <t>F</t>
  </si>
  <si>
    <t>G</t>
  </si>
  <si>
    <t>H</t>
  </si>
  <si>
    <t>GSM distribution:</t>
  </si>
  <si>
    <t>Beam ratio:</t>
  </si>
  <si>
    <t>Side:</t>
  </si>
  <si>
    <t>S1</t>
  </si>
  <si>
    <t>S2</t>
  </si>
  <si>
    <t>M1</t>
  </si>
  <si>
    <t>Bico ratio:</t>
  </si>
  <si>
    <t>SB2</t>
  </si>
  <si>
    <t>SB3</t>
  </si>
  <si>
    <t>Color 1</t>
  </si>
  <si>
    <t>Color 2</t>
  </si>
  <si>
    <t>Color 3</t>
  </si>
  <si>
    <t>Additive 1</t>
  </si>
  <si>
    <t>Additive 2</t>
  </si>
  <si>
    <t>Koncentrace</t>
  </si>
  <si>
    <t>OPU</t>
  </si>
  <si>
    <t>kg</t>
  </si>
  <si>
    <t>Surfactant 1</t>
  </si>
  <si>
    <t>Surfactant 2</t>
  </si>
  <si>
    <t>Surfactant 3</t>
  </si>
  <si>
    <t>PPMB - Borflow HL 708 FB</t>
  </si>
  <si>
    <t>PPMB - Borflow HL 712 FB</t>
  </si>
  <si>
    <t>PPMB - Moplen HP2674 (MFI 800)</t>
  </si>
  <si>
    <t>PPMB - Sabic PP 514M14</t>
  </si>
  <si>
    <t>PPMB - Mosten NB480</t>
  </si>
  <si>
    <t>PPMB - LG H7912</t>
  </si>
  <si>
    <t>BICO_ratio</t>
  </si>
  <si>
    <t>Pig - M-Color šedý 80 620 PP-2</t>
  </si>
  <si>
    <t>5800 eC/S</t>
  </si>
  <si>
    <t>6800 C/S</t>
  </si>
  <si>
    <t>6800 S/S</t>
  </si>
  <si>
    <t>2500 C/S 0,55</t>
  </si>
  <si>
    <t>2500 C/S 0,65</t>
  </si>
  <si>
    <t>eC/S 5800+S/S 6800</t>
  </si>
  <si>
    <t>6800 C/S (+ blocking plate =total 4800cpm; c=0,55mm)</t>
  </si>
  <si>
    <t>2500 C/S + 1100 C/S</t>
  </si>
  <si>
    <t>S/S 5800+S/S 6800</t>
  </si>
  <si>
    <t>trilobal C/S</t>
  </si>
  <si>
    <t>eC/S 5800 + C/S 1100</t>
  </si>
  <si>
    <t>eC/S 5800</t>
  </si>
  <si>
    <t>PET/coPET</t>
  </si>
  <si>
    <t>PET/PP</t>
  </si>
  <si>
    <t>G01 - Ovál</t>
  </si>
  <si>
    <t>G09 - tulips</t>
  </si>
  <si>
    <t>G11 - Spark</t>
  </si>
  <si>
    <t>GXX - new</t>
  </si>
  <si>
    <t>090/10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</si>
</sst>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"/>
  </numFmts>
  <fonts count="14" x14ac:knownFonts="1">
    <font>
      <sz val="11"/>
      <color theme="1"/>
      <name val="Aptos Narrow"/>
      <family val="2"/>
      <scheme val="minor"/>
    </font>
    <font>
      <sz val="8"/>
      <name val="Tahoma"/>
      <family val="2"/>
      <charset val="238"/>
    </font>
    <font>
      <sz val="8"/>
      <name val="Arial"/>
      <family val="2"/>
      <charset val="238"/>
    </font>
    <font>
      <sz val="8"/>
      <color theme="1"/>
      <name val="Arial"/>
      <family val="2"/>
      <charset val="238"/>
    </font>
    <font>
      <b/>
      <sz val="8"/>
      <name val="Arial"/>
      <family val="2"/>
    </font>
    <font>
      <b/>
      <sz val="8"/>
      <color theme="1"/>
      <name val="Arial"/>
      <family val="2"/>
    </font>
    <font>
      <sz val="8"/>
      <color rgb="FF000000"/>
      <name val="Calibri"/>
      <family val="2"/>
    </font>
    <font>
      <sz val="8"/>
      <color theme="0"/>
      <name val="Arial"/>
      <family val="2"/>
      <charset val="238"/>
    </font>
    <font>
      <b/>
      <sz val="8"/>
      <color theme="0"/>
      <name val="Arial"/>
      <family val="2"/>
      <charset val="238"/>
    </font>
    <font>
      <i/>
      <sz val="6"/>
      <color theme="0" tint="-0.499984740745262"/>
      <name val="Arial"/>
      <family val="2"/>
      <charset val="238"/>
    </font>
    <font>
      <i/>
      <sz val="8"/>
      <color theme="0" tint="-0.499984740745262"/>
      <name val="Arial"/>
      <family val="2"/>
      <charset val="238"/>
    </font>
    <font>
      <sz val="8"/>
      <color theme="0" tint="-0.499984740745262"/>
      <name val="Arial"/>
      <family val="2"/>
      <charset val="238"/>
    </font>
    <font>
      <sz val="8"/>
      <color theme="0" tint="-0.34998626667073579"/>
      <name val="Arial"/>
      <family val="2"/>
      <charset val="238"/>
    </font>
    <font>
      <sz val="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5B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thin">
        <color rgb="FF354B55"/>
      </left>
      <right style="thin">
        <color rgb="FF354B55"/>
      </right>
      <top style="thin">
        <color rgb="FF354B55"/>
      </top>
      <bottom style="thin">
        <color rgb="FF354B55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rgb="FF354B55"/>
      </bottom>
      <diagonal/>
    </border>
    <border>
      <left/>
      <right style="thin">
        <color auto="1"/>
      </right>
      <top/>
      <bottom style="thin">
        <color rgb="FF354B55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hair">
        <color theme="0" tint="-0.499984740745262"/>
      </bottom>
      <diagonal/>
    </border>
    <border>
      <left style="thin">
        <color rgb="FF354B55"/>
      </left>
      <right/>
      <top style="thin">
        <color rgb="FF354B55"/>
      </top>
      <bottom style="thin">
        <color rgb="FF354B55"/>
      </bottom>
      <diagonal/>
    </border>
    <border>
      <left/>
      <right style="thin">
        <color rgb="FF354B55"/>
      </right>
      <top style="thin">
        <color rgb="FF354B55"/>
      </top>
      <bottom style="thin">
        <color rgb="FF354B55"/>
      </bottom>
      <diagonal/>
    </border>
    <border>
      <left/>
      <right/>
      <top style="hair">
        <color theme="0" tint="-0.499984740745262"/>
      </top>
      <bottom/>
      <diagonal/>
    </border>
    <border>
      <left style="thin">
        <color rgb="FF354B55"/>
      </left>
      <right style="thin">
        <color rgb="FF354B55"/>
      </right>
      <top style="thin">
        <color rgb="FF354B55"/>
      </top>
      <bottom/>
      <diagonal/>
    </border>
    <border>
      <left/>
      <right/>
      <top style="thin">
        <color rgb="FF354B55"/>
      </top>
      <bottom/>
      <diagonal/>
    </border>
    <border>
      <left style="thin">
        <color rgb="FF354B55"/>
      </left>
      <right/>
      <top/>
      <bottom style="thin">
        <color rgb="FF354B55"/>
      </bottom>
      <diagonal/>
    </border>
    <border>
      <left/>
      <right style="thin">
        <color rgb="FF354B55"/>
      </right>
      <top/>
      <bottom style="thin">
        <color rgb="FF354B55"/>
      </bottom>
      <diagonal/>
    </border>
    <border>
      <left style="thin">
        <color rgb="FF354B55"/>
      </left>
      <right style="thin">
        <color rgb="FF354B55"/>
      </right>
      <top/>
      <bottom style="thin">
        <color rgb="FF354B55"/>
      </bottom>
      <diagonal/>
    </border>
  </borders>
  <cellStyleXfs count="2">
    <xf numFmtId="0" fontId="0" fillId="0" borderId="0"/>
    <xf numFmtId="0" fontId="1" fillId="0" borderId="0"/>
  </cellStyleXfs>
  <cellXfs count="71">
    <xf numFmtId="0" fontId="0" fillId="0" borderId="0" xfId="0"/>
    <xf numFmtId="0" fontId="2" fillId="0" borderId="0" xfId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5" fillId="0" borderId="0" xfId="0" applyFont="1"/>
    <xf numFmtId="0" fontId="5" fillId="0" borderId="0" xfId="1" applyFont="1"/>
    <xf numFmtId="0" fontId="3" fillId="0" borderId="0" xfId="0" applyFont="1"/>
    <xf numFmtId="9" fontId="3" fillId="0" borderId="0" xfId="0" applyNumberFormat="1" applyFont="1"/>
    <xf numFmtId="0" fontId="3" fillId="0" borderId="0" xfId="1" applyFont="1"/>
    <xf numFmtId="9" fontId="3" fillId="0" borderId="0" xfId="0" applyNumberFormat="1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right" vertical="center"/>
    </xf>
    <xf numFmtId="0" fontId="7" fillId="2" borderId="2" xfId="1" applyFont="1" applyFill="1" applyBorder="1" applyAlignment="1">
      <alignment horizontal="right" vertical="center"/>
    </xf>
    <xf numFmtId="1" fontId="2" fillId="0" borderId="0" xfId="1" applyNumberFormat="1" applyFont="1" applyAlignment="1">
      <alignment horizontal="right" vertical="center"/>
    </xf>
    <xf numFmtId="0" fontId="2" fillId="0" borderId="0" xfId="1" applyFont="1" applyAlignment="1">
      <alignment vertical="center"/>
    </xf>
    <xf numFmtId="0" fontId="8" fillId="2" borderId="5" xfId="1" applyFont="1" applyFill="1" applyBorder="1" applyAlignment="1">
      <alignment horizontal="center" vertical="center"/>
    </xf>
    <xf numFmtId="0" fontId="8" fillId="2" borderId="0" xfId="1" applyFont="1" applyFill="1" applyAlignment="1">
      <alignment horizontal="center" vertical="center"/>
    </xf>
    <xf numFmtId="0" fontId="2" fillId="0" borderId="8" xfId="1" applyFont="1" applyBorder="1" applyAlignment="1">
      <alignment horizontal="right" vertical="center"/>
    </xf>
    <xf numFmtId="0" fontId="8" fillId="2" borderId="11" xfId="1" applyFont="1" applyFill="1" applyBorder="1" applyAlignment="1">
      <alignment horizontal="center" vertical="center"/>
    </xf>
    <xf numFmtId="0" fontId="2" fillId="0" borderId="12" xfId="1" applyFont="1" applyBorder="1" applyAlignment="1" applyProtection="1">
      <alignment horizontal="right" vertical="center"/>
      <protection locked="0"/>
    </xf>
    <xf numFmtId="164" fontId="2" fillId="3" borderId="1" xfId="1" applyNumberFormat="1" applyFont="1" applyFill="1" applyBorder="1" applyAlignment="1" applyProtection="1">
      <alignment horizontal="center" vertical="center"/>
      <protection locked="0"/>
    </xf>
    <xf numFmtId="164" fontId="2" fillId="3" borderId="1" xfId="1" applyNumberFormat="1" applyFont="1" applyFill="1" applyBorder="1" applyAlignment="1" applyProtection="1">
      <alignment vertical="center"/>
      <protection locked="0"/>
    </xf>
    <xf numFmtId="0" fontId="9" fillId="0" borderId="0" xfId="1" applyFont="1" applyAlignment="1">
      <alignment horizontal="center" vertical="center"/>
    </xf>
    <xf numFmtId="0" fontId="2" fillId="0" borderId="0" xfId="1" applyFont="1" applyAlignment="1" applyProtection="1">
      <alignment horizontal="center" vertical="center"/>
      <protection locked="0"/>
    </xf>
    <xf numFmtId="9" fontId="2" fillId="0" borderId="0" xfId="1" applyNumberFormat="1" applyFont="1" applyAlignment="1" applyProtection="1">
      <alignment horizontal="center" vertical="center"/>
      <protection locked="0"/>
    </xf>
    <xf numFmtId="0" fontId="2" fillId="0" borderId="0" xfId="1" applyFont="1" applyAlignment="1" applyProtection="1">
      <alignment horizontal="left" vertical="center"/>
      <protection locked="0"/>
    </xf>
    <xf numFmtId="0" fontId="10" fillId="0" borderId="15" xfId="1" applyFont="1" applyBorder="1" applyAlignment="1">
      <alignment horizontal="right" vertical="center"/>
    </xf>
    <xf numFmtId="4" fontId="10" fillId="0" borderId="16" xfId="1" applyNumberFormat="1" applyFont="1" applyBorder="1" applyAlignment="1">
      <alignment horizontal="center" vertical="center"/>
    </xf>
    <xf numFmtId="4" fontId="9" fillId="0" borderId="0" xfId="1" applyNumberFormat="1" applyFont="1" applyAlignment="1">
      <alignment horizontal="center" vertical="center"/>
    </xf>
    <xf numFmtId="10" fontId="2" fillId="0" borderId="0" xfId="1" applyNumberFormat="1" applyFont="1" applyAlignment="1">
      <alignment horizontal="center" vertical="center"/>
    </xf>
    <xf numFmtId="0" fontId="2" fillId="0" borderId="1" xfId="1" applyFont="1" applyBorder="1" applyAlignment="1">
      <alignment horizontal="right" vertical="center"/>
    </xf>
    <xf numFmtId="0" fontId="2" fillId="0" borderId="1" xfId="1" applyFont="1" applyBorder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9" fontId="2" fillId="3" borderId="1" xfId="1" applyNumberFormat="1" applyFont="1" applyFill="1" applyBorder="1" applyAlignment="1" applyProtection="1">
      <alignment horizontal="center" vertical="center"/>
      <protection locked="0"/>
    </xf>
    <xf numFmtId="9" fontId="2" fillId="0" borderId="1" xfId="1" applyNumberFormat="1" applyFont="1" applyBorder="1" applyAlignment="1">
      <alignment horizontal="center" vertical="center"/>
    </xf>
    <xf numFmtId="0" fontId="11" fillId="0" borderId="0" xfId="1" applyFont="1" applyAlignment="1" applyProtection="1">
      <alignment horizontal="left" vertical="center"/>
      <protection locked="0"/>
    </xf>
    <xf numFmtId="165" fontId="2" fillId="0" borderId="1" xfId="1" applyNumberFormat="1" applyFont="1" applyBorder="1" applyAlignment="1">
      <alignment horizontal="center" vertical="center"/>
    </xf>
    <xf numFmtId="0" fontId="11" fillId="0" borderId="0" xfId="1" applyFont="1" applyAlignment="1">
      <alignment horizontal="left" vertical="center"/>
    </xf>
    <xf numFmtId="165" fontId="2" fillId="3" borderId="1" xfId="1" applyNumberFormat="1" applyFont="1" applyFill="1" applyBorder="1" applyAlignment="1" applyProtection="1">
      <alignment horizontal="center" vertical="center"/>
      <protection locked="0"/>
    </xf>
    <xf numFmtId="0" fontId="2" fillId="0" borderId="17" xfId="1" applyFont="1" applyBorder="1" applyAlignment="1" applyProtection="1">
      <alignment horizontal="right" vertical="center"/>
      <protection locked="0"/>
    </xf>
    <xf numFmtId="0" fontId="2" fillId="0" borderId="17" xfId="1" applyFont="1" applyBorder="1" applyAlignment="1" applyProtection="1">
      <alignment horizontal="left" vertical="center"/>
      <protection locked="0"/>
    </xf>
    <xf numFmtId="165" fontId="2" fillId="0" borderId="17" xfId="1" applyNumberFormat="1" applyFont="1" applyBorder="1" applyAlignment="1" applyProtection="1">
      <alignment horizontal="center" vertical="center"/>
      <protection locked="0"/>
    </xf>
    <xf numFmtId="0" fontId="2" fillId="0" borderId="18" xfId="1" applyFont="1" applyBorder="1" applyAlignment="1" applyProtection="1">
      <alignment horizontal="right" vertical="center"/>
      <protection locked="0"/>
    </xf>
    <xf numFmtId="0" fontId="2" fillId="0" borderId="19" xfId="1" applyFont="1" applyBorder="1" applyAlignment="1" applyProtection="1">
      <alignment horizontal="left" vertical="center"/>
      <protection locked="0"/>
    </xf>
    <xf numFmtId="165" fontId="8" fillId="2" borderId="20" xfId="1" applyNumberFormat="1" applyFont="1" applyFill="1" applyBorder="1" applyAlignment="1" applyProtection="1">
      <alignment horizontal="center" vertical="center"/>
      <protection locked="0"/>
    </xf>
    <xf numFmtId="165" fontId="8" fillId="2" borderId="18" xfId="1" applyNumberFormat="1" applyFont="1" applyFill="1" applyBorder="1" applyAlignment="1" applyProtection="1">
      <alignment horizontal="center" vertical="center"/>
      <protection locked="0"/>
    </xf>
    <xf numFmtId="165" fontId="2" fillId="0" borderId="0" xfId="1" applyNumberFormat="1" applyFont="1" applyAlignment="1" applyProtection="1">
      <alignment horizontal="center" vertical="center"/>
      <protection locked="0"/>
    </xf>
    <xf numFmtId="10" fontId="2" fillId="3" borderId="1" xfId="1" applyNumberFormat="1" applyFont="1" applyFill="1" applyBorder="1" applyAlignment="1" applyProtection="1">
      <alignment horizontal="center" vertical="center"/>
      <protection locked="0"/>
    </xf>
    <xf numFmtId="166" fontId="2" fillId="0" borderId="1" xfId="1" applyNumberFormat="1" applyFont="1" applyBorder="1" applyAlignment="1">
      <alignment horizontal="center" vertical="center"/>
    </xf>
    <xf numFmtId="0" fontId="8" fillId="2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Border="1" applyAlignment="1" applyProtection="1">
      <alignment horizontal="center" vertical="center"/>
      <protection locked="0" hidden="1"/>
    </xf>
    <xf numFmtId="0" fontId="2" fillId="0" borderId="1" xfId="1" applyFont="1" applyBorder="1" applyAlignment="1" applyProtection="1">
      <alignment horizontal="center" vertical="center"/>
      <protection locked="0" hidden="1"/>
    </xf>
    <xf numFmtId="166" fontId="2" fillId="0" borderId="1" xfId="1" applyNumberFormat="1" applyFont="1" applyBorder="1" applyAlignment="1" applyProtection="1">
      <alignment horizontal="center" vertical="center"/>
      <protection locked="0" hidden="1"/>
    </xf>
    <xf numFmtId="9" fontId="2" fillId="0" borderId="1" xfId="1" applyNumberFormat="1" applyFont="1" applyBorder="1" applyAlignment="1" applyProtection="1">
      <alignment horizontal="left" vertical="center"/>
      <protection locked="0" hidden="1"/>
    </xf>
    <xf numFmtId="0" fontId="2" fillId="0" borderId="1" xfId="1" applyFont="1" applyBorder="1" applyAlignment="1" applyProtection="1">
      <alignment horizontal="left" vertical="center"/>
      <protection locked="0" hidden="1"/>
    </xf>
    <xf numFmtId="164" fontId="2" fillId="0" borderId="0" xfId="1" applyNumberFormat="1" applyFont="1" applyAlignment="1" applyProtection="1">
      <alignment horizontal="center" vertical="center"/>
      <protection locked="0" hidden="1"/>
    </xf>
    <xf numFmtId="0" fontId="2" fillId="0" borderId="0" xfId="1" applyFont="1" applyAlignment="1" applyProtection="1">
      <alignment horizontal="center" vertical="center"/>
      <protection locked="0" hidden="1"/>
    </xf>
    <xf numFmtId="165" fontId="12" fillId="0" borderId="0" xfId="1" applyNumberFormat="1" applyFont="1" applyAlignment="1" applyProtection="1">
      <alignment horizontal="center" vertical="center"/>
      <protection locked="0" hidden="1"/>
    </xf>
    <xf numFmtId="0" fontId="4" fillId="0" borderId="12" xfId="1" applyFont="1" applyBorder="1" applyAlignment="1">
      <alignment horizontal="left" vertical="center"/>
    </xf>
    <xf numFmtId="0" fontId="13" fillId="0" borderId="0" xfId="0" applyFont="1"/>
    <xf numFmtId="164" fontId="2" fillId="3" borderId="13" xfId="1" applyNumberFormat="1" applyFont="1" applyFill="1" applyBorder="1" applyAlignment="1" applyProtection="1">
      <alignment horizontal="center" vertical="center"/>
      <protection locked="0"/>
    </xf>
    <xf numFmtId="164" fontId="2" fillId="3" borderId="14" xfId="1" applyNumberFormat="1" applyFont="1" applyFill="1" applyBorder="1" applyAlignment="1" applyProtection="1">
      <alignment horizontal="center" vertical="center"/>
      <protection locked="0"/>
    </xf>
    <xf numFmtId="4" fontId="10" fillId="0" borderId="13" xfId="1" applyNumberFormat="1" applyFont="1" applyBorder="1" applyAlignment="1">
      <alignment horizontal="center" vertical="center"/>
    </xf>
    <xf numFmtId="4" fontId="10" fillId="0" borderId="14" xfId="1" applyNumberFormat="1" applyFont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/>
    </xf>
    <xf numFmtId="0" fontId="8" fillId="2" borderId="6" xfId="1" applyFont="1" applyFill="1" applyBorder="1" applyAlignment="1">
      <alignment horizontal="center" vertical="center"/>
    </xf>
    <xf numFmtId="0" fontId="8" fillId="2" borderId="7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/>
    </xf>
    <xf numFmtId="0" fontId="8" fillId="2" borderId="10" xfId="1" applyFont="1" applyFill="1" applyBorder="1" applyAlignment="1">
      <alignment horizontal="center" vertical="center"/>
    </xf>
    <xf numFmtId="0" fontId="3" fillId="4" borderId="0" xfId="0" applyFont="1" applyFill="1"/>
    <xf numFmtId="0" fontId="3" fillId="4" borderId="0" xfId="1" applyFont="1" applyFill="1"/>
  </cellXfs>
  <cellStyles count="2">
    <cellStyle name="Normal" xfId="0" builtinId="0"/>
    <cellStyle name="Normální 2" xfId="1" xr:uid="{F0199B67-A81D-4A98-8F3A-51A8A4957AF3}"/>
  </cellStyles>
  <dxfs count="68">
    <dxf>
      <fill>
        <patternFill>
          <bgColor theme="4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theme="4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border outline="0">
        <top style="hair">
          <color theme="0" tint="-0.499984740745262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fill>
        <patternFill patternType="none">
          <fgColor indexed="64"/>
          <bgColor indexed="65"/>
        </patternFill>
      </fill>
    </dxf>
    <dxf>
      <border outline="0">
        <bottom style="hair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487680</xdr:colOff>
          <xdr:row>1</xdr:row>
          <xdr:rowOff>30480</xdr:rowOff>
        </xdr:from>
        <xdr:to>
          <xdr:col>1</xdr:col>
          <xdr:colOff>403860</xdr:colOff>
          <xdr:row>2</xdr:row>
          <xdr:rowOff>160020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Výmaz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fnonwovens.sharepoint.com/teams/Finance-SharedData/Shared%20Documents/General/Material%20Pricing%20EMEA/Product_Costing_Form_zmena_sirek.xlsm" TargetMode="External"/><Relationship Id="rId1" Type="http://schemas.openxmlformats.org/officeDocument/2006/relationships/externalLinkPath" Target="https://pfnonwovens.sharepoint.com/teams/Finance-SharedData/Shared%20Documents/General/Material%20Pricing%20EMEA/Product_Costing_Form_zmena_sirek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CD23Tkh7ckaGyHyK3EY_0B_jrMQaaRZOgvj_ynpV64SFnLEixdoOS4nwLSg-q2ic" itemId="01RPP366CMSLVINGTTMREZCHFIYNMR6IUT">
      <xxl21:absoluteUrl r:id="rId2"/>
    </xxl21:alternateUrls>
    <sheetNames>
      <sheetName val="Link to Old"/>
      <sheetName val="Technické údaje linek (2)"/>
      <sheetName val="Seznamy"/>
      <sheetName val="Recyklace, regranulace"/>
      <sheetName val="Základní informace"/>
      <sheetName val="PP"/>
      <sheetName val="Suroviny"/>
      <sheetName val="PFN_EMEA_patterns"/>
      <sheetName val="Odpady"/>
      <sheetName val="Parametry linek"/>
    </sheetNames>
    <definedNames>
      <definedName name="výmaz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2F10F3-78D8-42BB-8A3B-AA944E100804}" name="SB" displayName="SB" ref="A1:A31" totalsRowShown="0" headerRowDxfId="67" dataDxfId="65" headerRowBorderDxfId="66" tableBorderDxfId="64" headerRowCellStyle="Normální 2">
  <autoFilter ref="A1:A31" xr:uid="{FD2F10F3-78D8-42BB-8A3B-AA944E100804}"/>
  <tableColumns count="1">
    <tableColumn id="1" xr3:uid="{93E307B9-D269-4C9D-9138-FC89C896FC3D}" name="SB" dataDxfId="63"/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6D69D5-51CA-46EE-92A0-1A2C34D527E8}" name="MB" displayName="MB" ref="B1:B7" totalsRowShown="0" headerRowDxfId="62" dataDxfId="61" headerRowCellStyle="Normální 2">
  <autoFilter ref="B1:B7" xr:uid="{F86D69D5-51CA-46EE-92A0-1A2C34D527E8}"/>
  <sortState xmlns:xlrd2="http://schemas.microsoft.com/office/spreadsheetml/2017/richdata2" ref="B2:B8">
    <sortCondition ref="B2:B8"/>
  </sortState>
  <tableColumns count="1">
    <tableColumn id="1" xr3:uid="{11487E5B-596F-4AC8-82C2-4349BB217190}" name="MB" dataDxfId="60"/>
  </tableColumns>
  <tableStyleInfo name="TableStyleMedium2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8E0AC4-5938-4202-A5F5-1FA75FC03C61}" name="Pigment" displayName="Pigment" ref="C1:C45" totalsRowShown="0" headerRowDxfId="59" dataDxfId="58">
  <autoFilter ref="C1:C45" xr:uid="{2B8E0AC4-5938-4202-A5F5-1FA75FC03C61}"/>
  <tableColumns count="1">
    <tableColumn id="1" xr3:uid="{5FFC8618-1451-4571-84B4-2AAD5677FDAB}" name="Pigment" dataDxfId="57"/>
  </tableColumns>
  <tableStyleInfo name="TableStyleMedium2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CD4D2E-B90B-4A33-A594-ED7638EA8081}" name="Additive" displayName="Additive" ref="D1:D19" totalsRowShown="0" headerRowDxfId="56" dataDxfId="55">
  <autoFilter ref="D1:D19" xr:uid="{CCCD4D2E-B90B-4A33-A594-ED7638EA8081}"/>
  <tableColumns count="1">
    <tableColumn id="1" xr3:uid="{2DAF6286-B392-4B5E-91CB-F64910BE15E9}" name="Additive" dataDxfId="54"/>
  </tableColumns>
  <tableStyleInfo name="TableStyleMedium2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B7BC071-AFEA-40E1-A44E-F838AB3D3350}" name="Surfactant" displayName="Surfactant" ref="E1:F21" totalsRowShown="0" headerRowDxfId="53" dataDxfId="52">
  <autoFilter ref="E1:F21" xr:uid="{4B7BC071-AFEA-40E1-A44E-F838AB3D3350}"/>
  <tableColumns count="2">
    <tableColumn id="1" xr3:uid="{A58129B2-E318-4B2A-ADB4-7197D5F21149}" name="Surfactant" dataDxfId="51"/>
    <tableColumn id="2" xr3:uid="{C14D571C-31A6-478E-8998-A5170562C0A0}" name="Surf_conc." dataDxfId="50"/>
  </tableColumns>
  <tableStyleInfo name="TableStyleMedium2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FC0285C-169D-4176-8E8E-B72B97554CAF}" name="Customer" displayName="Customer" ref="G1:G87" totalsRowShown="0" headerRowDxfId="49" dataDxfId="48">
  <autoFilter ref="G1:G87" xr:uid="{DFC0285C-169D-4176-8E8E-B72B97554CAF}"/>
  <tableColumns count="1">
    <tableColumn id="1" xr3:uid="{9356D4F7-572C-427C-AF1E-5EB78F6FE98E}" name="Customer" dataDxfId="47"/>
  </tableColumns>
  <tableStyleInfo name="TableStyleMedium2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00597CB-2276-43CA-8635-9ED863BCF790}" name="Segment" displayName="Segment" ref="H1:H7" totalsRowShown="0" headerRowDxfId="46" dataDxfId="45" headerRowCellStyle="Normální 2">
  <autoFilter ref="H1:H7" xr:uid="{900597CB-2276-43CA-8635-9ED863BCF790}"/>
  <tableColumns count="1">
    <tableColumn id="1" xr3:uid="{938C3C67-4ACA-4662-9C57-E897A4B22B13}" name="Segment" dataDxfId="44"/>
  </tableColumns>
  <tableStyleInfo name="TableStyleMedium2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464D72C-C69A-4112-8424-97766E88D7C7}" name="S_SMS" displayName="S_SMS" ref="I1:I6" totalsRowShown="0" headerRowDxfId="43" dataDxfId="42" headerRowCellStyle="Normální 2">
  <autoFilter ref="I1:I6" xr:uid="{6464D72C-C69A-4112-8424-97766E88D7C7}"/>
  <tableColumns count="1">
    <tableColumn id="1" xr3:uid="{139A78FA-5925-4655-AE99-194FDAFDFE73}" name="S/SMS" dataDxfId="41"/>
  </tableColumns>
  <tableStyleInfo name="TableStyleMedium2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F590121-595E-4041-9C49-F227887713EB}" name="Mono_Bico" displayName="Mono_Bico" ref="J1:J4" totalsRowShown="0" headerRowDxfId="40" dataDxfId="39" headerRowCellStyle="Normální 2">
  <autoFilter ref="J1:J4" xr:uid="{6F590121-595E-4041-9C49-F227887713EB}"/>
  <sortState xmlns:xlrd2="http://schemas.microsoft.com/office/spreadsheetml/2017/richdata2" ref="J2:J4">
    <sortCondition descending="1" ref="J2:J4"/>
  </sortState>
  <tableColumns count="1">
    <tableColumn id="1" xr3:uid="{49BE5F34-76EF-4FC6-AD85-4A01D164CFDE}" name="Mono/Bico" dataDxfId="38"/>
  </tableColumns>
  <tableStyleInfo name="TableStyleMedium2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905E39C-E898-4DCE-8992-EB9DD8BDD77C}" name="Structure" displayName="Structure" ref="K1:K17" totalsRowShown="0" headerRowDxfId="37" dataDxfId="36" headerRowCellStyle="Normální 2">
  <autoFilter ref="K1:K17" xr:uid="{4905E39C-E898-4DCE-8992-EB9DD8BDD77C}"/>
  <tableColumns count="1">
    <tableColumn id="1" xr3:uid="{56A23D9B-6A6F-4753-BE1E-C32EC840E0CC}" name="Structure" dataDxfId="35"/>
  </tableColumns>
  <tableStyleInfo name="TableStyleMedium2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13D5326-F5B7-47B4-B01A-6CB9BA8E80F3}" name="Main_RM" displayName="Main_RM" ref="L1:L21" totalsRowShown="0" headerRowDxfId="34" dataDxfId="33" headerRowCellStyle="Normální 2" dataCellStyle="Normální 2">
  <autoFilter ref="L1:L21" xr:uid="{413D5326-F5B7-47B4-B01A-6CB9BA8E80F3}"/>
  <sortState xmlns:xlrd2="http://schemas.microsoft.com/office/spreadsheetml/2017/richdata2" ref="L2:L21">
    <sortCondition ref="L2:L22"/>
  </sortState>
  <tableColumns count="1">
    <tableColumn id="1" xr3:uid="{DD8457DA-8491-478C-9906-5FD70BAC1D58}" name="Main RawMat" dataDxfId="32" dataCellStyle="Normální 2"/>
  </tableColumns>
  <tableStyleInfo name="TableStyleMedium2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B04A6F5-7D60-4358-A04F-F7B790D5B889}" name="Bonding" displayName="Bonding" ref="M1:M17" totalsRowShown="0" headerRowDxfId="31" dataDxfId="30">
  <autoFilter ref="M1:M17" xr:uid="{1B04A6F5-7D60-4358-A04F-F7B790D5B889}"/>
  <tableColumns count="1">
    <tableColumn id="1" xr3:uid="{56ECAD42-4F9B-4A07-AFE4-7B55C7D60185}" name="Bonding" dataDxfId="29"/>
  </tableColumns>
  <tableStyleInfo name="TableStyleMedium2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C924A71-2AB7-4534-BAF1-472867F8C212}" name="BICO_ratio" displayName="BICO_ratio" ref="N1:N12" totalsRowShown="0" headerRowDxfId="28" dataDxfId="27" headerRowCellStyle="Normální 2">
  <autoFilter ref="N1:N12" xr:uid="{FC924A71-2AB7-4534-BAF1-472867F8C212}"/>
  <sortState xmlns:xlrd2="http://schemas.microsoft.com/office/spreadsheetml/2017/richdata2" ref="N2:N12">
    <sortCondition ref="N3:N12"/>
  </sortState>
  <tableColumns count="1">
    <tableColumn id="1" xr3:uid="{328F5A89-E5FD-4981-8CDC-7C47CB509CD7}" name="BICO_ratio" dataDxfId="26"/>
  </tableColumns>
  <tableStyleInfo name="TableStyleMedium23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18F5E1C-F12C-48F7-8C94-ECB150008FB8}" name="Treatment" displayName="Treatment" ref="O1:O14" totalsRowShown="0" headerRowDxfId="25" dataDxfId="24" headerRowCellStyle="Normální 2" dataCellStyle="Normální 2">
  <autoFilter ref="O1:O14" xr:uid="{C18F5E1C-F12C-48F7-8C94-ECB150008FB8}"/>
  <tableColumns count="1">
    <tableColumn id="1" xr3:uid="{B95087BE-BB18-44FB-AB6B-CE34516E6A4E}" name="Treatment" dataDxfId="23" dataCellStyle="Normální 2"/>
  </tableColumns>
  <tableStyleInfo name="TableStyleMedium25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9417235-E692-4566-8941-350F0E308BFA}" name="Color" displayName="Color" ref="P1:P74" totalsRowShown="0" headerRowDxfId="22" dataDxfId="21" headerRowCellStyle="Normální 2" dataCellStyle="Normální 2">
  <autoFilter ref="P1:P74" xr:uid="{69417235-E692-4566-8941-350F0E308BFA}"/>
  <tableColumns count="1">
    <tableColumn id="1" xr3:uid="{D6D6BE17-33AB-4EE1-90CD-430533094C81}" name="Color" dataDxfId="20" dataCellStyle="Normální 2"/>
  </tableColumns>
  <tableStyleInfo name="TableStyleMedium24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074344A-42F3-4096-BA1F-1011EBCE4F62}" name="Cores" displayName="Cores" ref="Q1:Q6" totalsRowShown="0" headerRowDxfId="19" dataDxfId="18" headerRowCellStyle="Normální 2" dataCellStyle="Normální 2">
  <autoFilter ref="Q1:Q6" xr:uid="{8074344A-42F3-4096-BA1F-1011EBCE4F62}"/>
  <tableColumns count="1">
    <tableColumn id="1" xr3:uid="{D8816DF6-A4B5-48B7-95B8-92BAF88C9083}" name="Cores" dataDxfId="17" dataCellStyle="Normální 2"/>
  </tableColumns>
  <tableStyleInfo name="TableStyleMedium23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38775E4-F5E0-431D-9351-D17AE56F19D7}" name="Line" displayName="Line" ref="R1:R14" totalsRowShown="0" headerRowDxfId="16" dataDxfId="15" headerRowCellStyle="Normální 2" dataCellStyle="Normální 2">
  <autoFilter ref="R1:R14" xr:uid="{838775E4-F5E0-431D-9351-D17AE56F19D7}"/>
  <tableColumns count="1">
    <tableColumn id="1" xr3:uid="{8390CAA7-046C-4F7E-8958-FFCCA51C7490}" name="Line" dataDxfId="14" dataCellStyle="Normální 2"/>
  </tableColumns>
  <tableStyleInfo name="TableStyleMedium25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D1B2D88-330C-4AA5-92F9-DC81C83DDD5C}" name="Application" displayName="Application" ref="S1:S20" totalsRowShown="0" headerRowDxfId="13" dataDxfId="12">
  <autoFilter ref="S1:S20" xr:uid="{CD1B2D88-330C-4AA5-92F9-DC81C83DDD5C}"/>
  <tableColumns count="1">
    <tableColumn id="1" xr3:uid="{07F71864-2ADD-444A-9722-A87171922B3B}" name="Application" dataDxfId="11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CF6A9-7DDA-404E-90FB-FA3DB2C74227}">
  <dimension ref="A1:AD3506"/>
  <sheetViews>
    <sheetView tabSelected="1" workbookViewId="0">
      <selection activeCell="R21" sqref="R21"/>
    </sheetView>
  </sheetViews>
  <sheetFormatPr defaultColWidth="7.109375" defaultRowHeight="10.199999999999999" x14ac:dyDescent="0.2"/>
  <cols>
    <col min="1" max="2" width="25.77734375" style="5" customWidth="1"/>
    <col min="3" max="3" width="36.6640625" style="5" customWidth="1"/>
    <col min="4" max="4" width="28.6640625" style="5" customWidth="1"/>
    <col min="5" max="5" width="32.6640625" style="5" customWidth="1"/>
    <col min="6" max="6" width="15.6640625" style="5" customWidth="1"/>
    <col min="7" max="7" width="17" style="5" customWidth="1"/>
    <col min="8" max="8" width="13.21875" style="5" customWidth="1"/>
    <col min="9" max="11" width="11.77734375" style="5" customWidth="1"/>
    <col min="12" max="12" width="18" style="5" customWidth="1"/>
    <col min="13" max="13" width="17.21875" style="5" customWidth="1"/>
    <col min="14" max="14" width="10.44140625" style="5" customWidth="1"/>
    <col min="15" max="15" width="20.33203125" style="7" customWidth="1"/>
    <col min="16" max="16" width="11.77734375" style="7" customWidth="1"/>
    <col min="17" max="17" width="7.6640625" style="7" customWidth="1"/>
    <col min="18" max="18" width="16.21875" style="5" customWidth="1"/>
    <col min="19" max="19" width="11.44140625" style="5" customWidth="1"/>
    <col min="20" max="16384" width="7.109375" style="5"/>
  </cols>
  <sheetData>
    <row r="1" spans="1:19" s="3" customFormat="1" x14ac:dyDescent="0.2">
      <c r="A1" s="57" t="s">
        <v>268</v>
      </c>
      <c r="B1" s="2" t="s">
        <v>13</v>
      </c>
      <c r="C1" s="3" t="s">
        <v>269</v>
      </c>
      <c r="D1" s="3" t="s">
        <v>3</v>
      </c>
      <c r="E1" s="3" t="s">
        <v>270</v>
      </c>
      <c r="F1" s="3" t="s">
        <v>271</v>
      </c>
      <c r="G1" s="3" t="s">
        <v>4</v>
      </c>
      <c r="H1" s="4" t="s">
        <v>272</v>
      </c>
      <c r="I1" s="4" t="s">
        <v>5</v>
      </c>
      <c r="J1" s="4" t="s">
        <v>273</v>
      </c>
      <c r="K1" s="4" t="s">
        <v>6</v>
      </c>
      <c r="L1" s="4" t="s">
        <v>274</v>
      </c>
      <c r="M1" s="3" t="s">
        <v>7</v>
      </c>
      <c r="N1" s="4" t="s">
        <v>430</v>
      </c>
      <c r="O1" s="4" t="s">
        <v>8</v>
      </c>
      <c r="P1" s="4" t="s">
        <v>2</v>
      </c>
      <c r="Q1" s="4" t="s">
        <v>9</v>
      </c>
      <c r="R1" s="4" t="s">
        <v>275</v>
      </c>
      <c r="S1" s="3" t="s">
        <v>10</v>
      </c>
    </row>
    <row r="2" spans="1:19" x14ac:dyDescent="0.2">
      <c r="A2" s="5" t="s">
        <v>294</v>
      </c>
      <c r="B2" s="5" t="s">
        <v>424</v>
      </c>
      <c r="C2" s="5" t="s">
        <v>335</v>
      </c>
      <c r="D2" s="5" t="s">
        <v>362</v>
      </c>
      <c r="E2" s="5" t="s">
        <v>369</v>
      </c>
      <c r="F2" s="8">
        <v>1</v>
      </c>
      <c r="G2" s="5" t="s">
        <v>11</v>
      </c>
      <c r="H2" s="5" t="s">
        <v>12</v>
      </c>
      <c r="I2" s="69" t="s">
        <v>13</v>
      </c>
      <c r="J2" s="5" t="s">
        <v>39</v>
      </c>
      <c r="K2" s="5" t="s">
        <v>15</v>
      </c>
      <c r="L2" s="7" t="s">
        <v>16</v>
      </c>
      <c r="M2" s="5" t="s">
        <v>17</v>
      </c>
      <c r="N2" s="5" t="s">
        <v>18</v>
      </c>
      <c r="O2" s="7" t="s">
        <v>19</v>
      </c>
      <c r="P2" s="7" t="s">
        <v>20</v>
      </c>
      <c r="Q2" s="70" t="s">
        <v>21</v>
      </c>
      <c r="R2" s="7" t="s">
        <v>22</v>
      </c>
      <c r="S2" s="5" t="s">
        <v>23</v>
      </c>
    </row>
    <row r="3" spans="1:19" x14ac:dyDescent="0.2">
      <c r="A3" s="5" t="s">
        <v>295</v>
      </c>
      <c r="B3" s="5" t="s">
        <v>425</v>
      </c>
      <c r="C3" s="5" t="s">
        <v>310</v>
      </c>
      <c r="D3" s="5" t="s">
        <v>350</v>
      </c>
      <c r="E3" s="5" t="s">
        <v>370</v>
      </c>
      <c r="F3" s="8">
        <v>1</v>
      </c>
      <c r="G3" s="5" t="s">
        <v>24</v>
      </c>
      <c r="H3" s="5" t="s">
        <v>25</v>
      </c>
      <c r="I3" s="5" t="s">
        <v>26</v>
      </c>
      <c r="J3" s="5" t="s">
        <v>27</v>
      </c>
      <c r="K3" s="5" t="s">
        <v>28</v>
      </c>
      <c r="L3" s="7" t="s">
        <v>29</v>
      </c>
      <c r="M3" s="5" t="s">
        <v>23</v>
      </c>
      <c r="N3" s="5" t="s">
        <v>30</v>
      </c>
      <c r="O3" s="7" t="s">
        <v>31</v>
      </c>
      <c r="P3" s="7" t="s">
        <v>32</v>
      </c>
      <c r="Q3" s="70" t="s">
        <v>33</v>
      </c>
      <c r="R3" s="7" t="s">
        <v>34</v>
      </c>
      <c r="S3" s="5" t="s">
        <v>35</v>
      </c>
    </row>
    <row r="4" spans="1:19" x14ac:dyDescent="0.2">
      <c r="A4" s="5" t="s">
        <v>306</v>
      </c>
      <c r="B4" s="5" t="s">
        <v>429</v>
      </c>
      <c r="C4" s="5" t="s">
        <v>311</v>
      </c>
      <c r="D4" s="5" t="s">
        <v>363</v>
      </c>
      <c r="E4" s="5" t="s">
        <v>387</v>
      </c>
      <c r="F4" s="8">
        <v>0.99</v>
      </c>
      <c r="G4" s="5" t="s">
        <v>36</v>
      </c>
      <c r="H4" s="5" t="s">
        <v>37</v>
      </c>
      <c r="I4" s="69" t="s">
        <v>38</v>
      </c>
      <c r="J4" s="5" t="s">
        <v>14</v>
      </c>
      <c r="K4" s="5" t="s">
        <v>277</v>
      </c>
      <c r="L4" s="7" t="s">
        <v>40</v>
      </c>
      <c r="M4" s="5" t="s">
        <v>41</v>
      </c>
      <c r="N4" s="5" t="s">
        <v>42</v>
      </c>
      <c r="O4" s="7" t="s">
        <v>43</v>
      </c>
      <c r="P4" s="7" t="s">
        <v>44</v>
      </c>
      <c r="Q4" s="7" t="s">
        <v>45</v>
      </c>
      <c r="R4" s="7" t="s">
        <v>46</v>
      </c>
      <c r="S4" s="5" t="s">
        <v>47</v>
      </c>
    </row>
    <row r="5" spans="1:19" x14ac:dyDescent="0.2">
      <c r="A5" s="5" t="s">
        <v>296</v>
      </c>
      <c r="B5" s="5" t="s">
        <v>426</v>
      </c>
      <c r="C5" s="5" t="s">
        <v>312</v>
      </c>
      <c r="D5" s="5" t="s">
        <v>359</v>
      </c>
      <c r="E5" s="5" t="s">
        <v>376</v>
      </c>
      <c r="F5" s="8">
        <v>1</v>
      </c>
      <c r="G5" s="5" t="s">
        <v>48</v>
      </c>
      <c r="H5" s="5" t="s">
        <v>49</v>
      </c>
      <c r="I5" s="69" t="s">
        <v>50</v>
      </c>
      <c r="K5" s="5" t="s">
        <v>51</v>
      </c>
      <c r="L5" s="7" t="s">
        <v>52</v>
      </c>
      <c r="M5" s="5" t="s">
        <v>390</v>
      </c>
      <c r="N5" s="5" t="s">
        <v>53</v>
      </c>
      <c r="O5" s="7" t="s">
        <v>54</v>
      </c>
      <c r="P5" s="7" t="s">
        <v>55</v>
      </c>
      <c r="Q5" s="7" t="s">
        <v>56</v>
      </c>
      <c r="R5" s="7" t="s">
        <v>57</v>
      </c>
      <c r="S5" s="5" t="s">
        <v>58</v>
      </c>
    </row>
    <row r="6" spans="1:19" x14ac:dyDescent="0.2">
      <c r="A6" s="5" t="s">
        <v>297</v>
      </c>
      <c r="B6" s="5" t="s">
        <v>428</v>
      </c>
      <c r="C6" s="5" t="s">
        <v>313</v>
      </c>
      <c r="D6" s="5" t="s">
        <v>364</v>
      </c>
      <c r="E6" s="5" t="s">
        <v>379</v>
      </c>
      <c r="F6" s="8">
        <v>0.5</v>
      </c>
      <c r="G6" s="5" t="s">
        <v>59</v>
      </c>
      <c r="H6" s="5" t="s">
        <v>60</v>
      </c>
      <c r="I6" s="5" t="s">
        <v>61</v>
      </c>
      <c r="K6" s="5" t="s">
        <v>432</v>
      </c>
      <c r="L6" s="7" t="s">
        <v>444</v>
      </c>
      <c r="M6" s="5" t="s">
        <v>63</v>
      </c>
      <c r="N6" s="5" t="s">
        <v>64</v>
      </c>
      <c r="O6" s="7" t="s">
        <v>65</v>
      </c>
      <c r="P6" s="7" t="s">
        <v>66</v>
      </c>
      <c r="Q6" s="7" t="s">
        <v>67</v>
      </c>
      <c r="R6" s="7" t="s">
        <v>68</v>
      </c>
      <c r="S6" s="5" t="s">
        <v>69</v>
      </c>
    </row>
    <row r="7" spans="1:19" x14ac:dyDescent="0.2">
      <c r="A7" s="5" t="s">
        <v>279</v>
      </c>
      <c r="B7" s="5" t="s">
        <v>427</v>
      </c>
      <c r="C7" s="5" t="s">
        <v>314</v>
      </c>
      <c r="D7" s="5" t="s">
        <v>365</v>
      </c>
      <c r="E7" s="5" t="s">
        <v>371</v>
      </c>
      <c r="F7" s="8">
        <v>1</v>
      </c>
      <c r="G7" s="5" t="s">
        <v>70</v>
      </c>
      <c r="H7" s="5" t="s">
        <v>276</v>
      </c>
      <c r="K7" s="5" t="s">
        <v>433</v>
      </c>
      <c r="L7" s="7" t="s">
        <v>62</v>
      </c>
      <c r="M7" s="5" t="s">
        <v>72</v>
      </c>
      <c r="N7" s="5" t="s">
        <v>73</v>
      </c>
      <c r="O7" s="7" t="s">
        <v>74</v>
      </c>
      <c r="P7" s="7" t="s">
        <v>75</v>
      </c>
      <c r="R7" s="7" t="s">
        <v>76</v>
      </c>
      <c r="S7" s="5" t="s">
        <v>77</v>
      </c>
    </row>
    <row r="8" spans="1:19" x14ac:dyDescent="0.2">
      <c r="A8" s="5" t="s">
        <v>298</v>
      </c>
      <c r="C8" s="5" t="s">
        <v>336</v>
      </c>
      <c r="D8" s="5" t="s">
        <v>351</v>
      </c>
      <c r="E8" s="5" t="s">
        <v>372</v>
      </c>
      <c r="F8" s="8">
        <v>1</v>
      </c>
      <c r="G8" s="5" t="s">
        <v>78</v>
      </c>
      <c r="K8" s="5" t="s">
        <v>434</v>
      </c>
      <c r="L8" s="7" t="s">
        <v>445</v>
      </c>
      <c r="M8" s="5" t="s">
        <v>391</v>
      </c>
      <c r="N8" s="5" t="s">
        <v>79</v>
      </c>
      <c r="O8" s="7" t="s">
        <v>80</v>
      </c>
      <c r="P8" s="7" t="s">
        <v>81</v>
      </c>
      <c r="R8" s="7" t="s">
        <v>82</v>
      </c>
      <c r="S8" s="5" t="s">
        <v>83</v>
      </c>
    </row>
    <row r="9" spans="1:19" x14ac:dyDescent="0.2">
      <c r="A9" s="5" t="s">
        <v>299</v>
      </c>
      <c r="C9" s="5" t="s">
        <v>315</v>
      </c>
      <c r="D9" s="5" t="s">
        <v>357</v>
      </c>
      <c r="E9" s="5" t="s">
        <v>373</v>
      </c>
      <c r="F9" s="8">
        <v>0.45</v>
      </c>
      <c r="G9" s="5" t="s">
        <v>84</v>
      </c>
      <c r="K9" s="5" t="s">
        <v>435</v>
      </c>
      <c r="L9" s="7" t="s">
        <v>71</v>
      </c>
      <c r="M9" s="5" t="s">
        <v>86</v>
      </c>
      <c r="N9" s="5" t="s">
        <v>87</v>
      </c>
      <c r="O9" s="7" t="s">
        <v>88</v>
      </c>
      <c r="P9" s="7" t="s">
        <v>89</v>
      </c>
      <c r="R9" s="7" t="s">
        <v>90</v>
      </c>
      <c r="S9" s="5" t="s">
        <v>15</v>
      </c>
    </row>
    <row r="10" spans="1:19" x14ac:dyDescent="0.2">
      <c r="A10" s="5" t="s">
        <v>300</v>
      </c>
      <c r="C10" s="5" t="s">
        <v>316</v>
      </c>
      <c r="D10" s="5" t="s">
        <v>352</v>
      </c>
      <c r="E10" s="5" t="s">
        <v>380</v>
      </c>
      <c r="F10" s="8">
        <v>0.94</v>
      </c>
      <c r="G10" s="5" t="s">
        <v>91</v>
      </c>
      <c r="K10" s="5" t="s">
        <v>436</v>
      </c>
      <c r="L10" s="7" t="s">
        <v>85</v>
      </c>
      <c r="M10" s="5" t="s">
        <v>392</v>
      </c>
      <c r="N10" s="5" t="s">
        <v>450</v>
      </c>
      <c r="O10" s="7" t="s">
        <v>94</v>
      </c>
      <c r="P10" s="7" t="s">
        <v>95</v>
      </c>
      <c r="R10" s="7" t="s">
        <v>96</v>
      </c>
      <c r="S10" s="5" t="s">
        <v>97</v>
      </c>
    </row>
    <row r="11" spans="1:19" x14ac:dyDescent="0.2">
      <c r="A11" s="5" t="s">
        <v>281</v>
      </c>
      <c r="C11" s="5" t="s">
        <v>317</v>
      </c>
      <c r="D11" s="5" t="s">
        <v>356</v>
      </c>
      <c r="E11" s="5" t="s">
        <v>378</v>
      </c>
      <c r="F11" s="8">
        <v>0.43</v>
      </c>
      <c r="G11" s="5" t="s">
        <v>98</v>
      </c>
      <c r="K11" s="5" t="s">
        <v>437</v>
      </c>
      <c r="L11" s="7" t="s">
        <v>92</v>
      </c>
      <c r="M11" s="5" t="s">
        <v>389</v>
      </c>
      <c r="N11" s="5" t="s">
        <v>93</v>
      </c>
      <c r="O11" s="7" t="s">
        <v>100</v>
      </c>
      <c r="P11" s="7" t="s">
        <v>101</v>
      </c>
      <c r="R11" s="7" t="s">
        <v>102</v>
      </c>
      <c r="S11" s="5" t="s">
        <v>103</v>
      </c>
    </row>
    <row r="12" spans="1:19" x14ac:dyDescent="0.2">
      <c r="A12" s="5" t="s">
        <v>282</v>
      </c>
      <c r="C12" s="5" t="s">
        <v>309</v>
      </c>
      <c r="D12" s="5" t="s">
        <v>353</v>
      </c>
      <c r="E12" s="5" t="s">
        <v>377</v>
      </c>
      <c r="F12" s="8">
        <v>0.5</v>
      </c>
      <c r="G12" s="5" t="s">
        <v>104</v>
      </c>
      <c r="K12" s="5" t="s">
        <v>438</v>
      </c>
      <c r="L12" s="7" t="s">
        <v>99</v>
      </c>
      <c r="M12" s="5" t="s">
        <v>106</v>
      </c>
      <c r="N12" s="7" t="s">
        <v>276</v>
      </c>
      <c r="O12" s="7" t="s">
        <v>107</v>
      </c>
      <c r="P12" s="7" t="s">
        <v>108</v>
      </c>
      <c r="R12" s="7" t="s">
        <v>109</v>
      </c>
      <c r="S12" s="5" t="s">
        <v>110</v>
      </c>
    </row>
    <row r="13" spans="1:19" x14ac:dyDescent="0.2">
      <c r="A13" s="5" t="s">
        <v>283</v>
      </c>
      <c r="C13" s="5" t="s">
        <v>318</v>
      </c>
      <c r="D13" s="5" t="s">
        <v>354</v>
      </c>
      <c r="E13" s="5" t="s">
        <v>375</v>
      </c>
      <c r="F13" s="8">
        <v>0.5</v>
      </c>
      <c r="G13" s="5" t="s">
        <v>111</v>
      </c>
      <c r="K13" s="5" t="s">
        <v>439</v>
      </c>
      <c r="L13" s="7" t="s">
        <v>105</v>
      </c>
      <c r="M13" s="5" t="s">
        <v>113</v>
      </c>
      <c r="O13" s="7" t="s">
        <v>114</v>
      </c>
      <c r="P13" s="7" t="s">
        <v>115</v>
      </c>
      <c r="R13" s="7" t="s">
        <v>116</v>
      </c>
      <c r="S13" s="5" t="s">
        <v>117</v>
      </c>
    </row>
    <row r="14" spans="1:19" x14ac:dyDescent="0.2">
      <c r="A14" s="5" t="s">
        <v>301</v>
      </c>
      <c r="C14" s="5" t="s">
        <v>337</v>
      </c>
      <c r="D14" s="5" t="s">
        <v>360</v>
      </c>
      <c r="E14" s="5" t="s">
        <v>381</v>
      </c>
      <c r="F14" s="8">
        <v>0.76</v>
      </c>
      <c r="G14" s="5" t="s">
        <v>118</v>
      </c>
      <c r="K14" s="5" t="s">
        <v>440</v>
      </c>
      <c r="L14" s="7" t="s">
        <v>112</v>
      </c>
      <c r="M14" s="5" t="s">
        <v>446</v>
      </c>
      <c r="O14" s="7" t="s">
        <v>120</v>
      </c>
      <c r="P14" s="7" t="s">
        <v>121</v>
      </c>
      <c r="R14" s="7" t="s">
        <v>122</v>
      </c>
      <c r="S14" s="5" t="s">
        <v>123</v>
      </c>
    </row>
    <row r="15" spans="1:19" x14ac:dyDescent="0.2">
      <c r="A15" s="5" t="s">
        <v>284</v>
      </c>
      <c r="C15" s="5" t="s">
        <v>349</v>
      </c>
      <c r="D15" s="5" t="s">
        <v>366</v>
      </c>
      <c r="E15" s="5" t="s">
        <v>382</v>
      </c>
      <c r="F15" s="8">
        <v>0.96</v>
      </c>
      <c r="G15" s="5" t="s">
        <v>124</v>
      </c>
      <c r="K15" s="5" t="s">
        <v>441</v>
      </c>
      <c r="L15" s="7" t="s">
        <v>119</v>
      </c>
      <c r="M15" s="5" t="s">
        <v>447</v>
      </c>
      <c r="P15" s="7" t="s">
        <v>126</v>
      </c>
      <c r="R15" s="7"/>
      <c r="S15" s="5" t="s">
        <v>127</v>
      </c>
    </row>
    <row r="16" spans="1:19" x14ac:dyDescent="0.2">
      <c r="A16" s="5" t="s">
        <v>285</v>
      </c>
      <c r="C16" s="5" t="s">
        <v>319</v>
      </c>
      <c r="D16" s="5" t="s">
        <v>367</v>
      </c>
      <c r="E16" s="5" t="s">
        <v>383</v>
      </c>
      <c r="F16" s="8">
        <v>0.19</v>
      </c>
      <c r="G16" s="5" t="s">
        <v>128</v>
      </c>
      <c r="K16" s="5" t="s">
        <v>442</v>
      </c>
      <c r="L16" s="7" t="s">
        <v>125</v>
      </c>
      <c r="M16" s="5" t="s">
        <v>448</v>
      </c>
      <c r="P16" s="7" t="s">
        <v>130</v>
      </c>
      <c r="R16" s="7"/>
      <c r="S16" s="5" t="s">
        <v>131</v>
      </c>
    </row>
    <row r="17" spans="1:19" x14ac:dyDescent="0.2">
      <c r="A17" s="5" t="s">
        <v>286</v>
      </c>
      <c r="C17" s="5" t="s">
        <v>320</v>
      </c>
      <c r="D17" s="5" t="s">
        <v>368</v>
      </c>
      <c r="E17" s="5" t="s">
        <v>384</v>
      </c>
      <c r="F17" s="8">
        <v>0.2</v>
      </c>
      <c r="G17" s="5" t="s">
        <v>132</v>
      </c>
      <c r="K17" s="5" t="s">
        <v>443</v>
      </c>
      <c r="L17" s="7" t="s">
        <v>129</v>
      </c>
      <c r="M17" s="5" t="s">
        <v>449</v>
      </c>
      <c r="P17" s="7" t="s">
        <v>134</v>
      </c>
      <c r="R17" s="7"/>
      <c r="S17" s="5" t="s">
        <v>135</v>
      </c>
    </row>
    <row r="18" spans="1:19" ht="10.8" x14ac:dyDescent="0.25">
      <c r="A18" s="5" t="s">
        <v>280</v>
      </c>
      <c r="C18" s="5" t="s">
        <v>321</v>
      </c>
      <c r="D18" s="5" t="s">
        <v>355</v>
      </c>
      <c r="E18" s="5" t="s">
        <v>385</v>
      </c>
      <c r="F18" s="8">
        <v>0.6</v>
      </c>
      <c r="G18" s="5" t="s">
        <v>136</v>
      </c>
      <c r="L18" s="7" t="s">
        <v>133</v>
      </c>
      <c r="M18" s="58"/>
      <c r="P18" s="7" t="s">
        <v>138</v>
      </c>
      <c r="R18" s="7"/>
      <c r="S18" s="5" t="s">
        <v>139</v>
      </c>
    </row>
    <row r="19" spans="1:19" ht="10.8" x14ac:dyDescent="0.25">
      <c r="A19" s="5" t="s">
        <v>287</v>
      </c>
      <c r="C19" s="5" t="s">
        <v>322</v>
      </c>
      <c r="D19" s="5" t="s">
        <v>358</v>
      </c>
      <c r="E19" s="5" t="s">
        <v>386</v>
      </c>
      <c r="F19" s="8">
        <v>1</v>
      </c>
      <c r="G19" s="5" t="s">
        <v>140</v>
      </c>
      <c r="L19" s="7" t="s">
        <v>137</v>
      </c>
      <c r="M19" s="58"/>
      <c r="P19" s="7" t="s">
        <v>142</v>
      </c>
      <c r="R19" s="7"/>
      <c r="S19" s="5" t="s">
        <v>143</v>
      </c>
    </row>
    <row r="20" spans="1:19" ht="10.8" x14ac:dyDescent="0.25">
      <c r="A20" s="5" t="s">
        <v>288</v>
      </c>
      <c r="C20" s="5" t="s">
        <v>431</v>
      </c>
      <c r="E20" s="5" t="s">
        <v>374</v>
      </c>
      <c r="F20" s="8">
        <v>0.03</v>
      </c>
      <c r="G20" s="5" t="s">
        <v>144</v>
      </c>
      <c r="L20" s="7" t="s">
        <v>141</v>
      </c>
      <c r="M20" s="58"/>
      <c r="P20" s="7" t="s">
        <v>146</v>
      </c>
      <c r="R20" s="7"/>
      <c r="S20" s="5" t="s">
        <v>276</v>
      </c>
    </row>
    <row r="21" spans="1:19" ht="10.8" x14ac:dyDescent="0.25">
      <c r="A21" s="5" t="s">
        <v>361</v>
      </c>
      <c r="C21" s="5" t="s">
        <v>307</v>
      </c>
      <c r="E21" s="5" t="s">
        <v>388</v>
      </c>
      <c r="F21" s="8">
        <v>0.7</v>
      </c>
      <c r="G21" s="5" t="s">
        <v>147</v>
      </c>
      <c r="L21" s="7" t="s">
        <v>145</v>
      </c>
      <c r="M21" s="58"/>
      <c r="P21" s="7" t="s">
        <v>148</v>
      </c>
      <c r="R21" s="7"/>
    </row>
    <row r="22" spans="1:19" ht="10.8" x14ac:dyDescent="0.25">
      <c r="A22" s="5" t="s">
        <v>289</v>
      </c>
      <c r="C22" s="5" t="s">
        <v>342</v>
      </c>
      <c r="F22" s="6"/>
      <c r="G22" s="5" t="s">
        <v>149</v>
      </c>
      <c r="L22" s="58"/>
      <c r="M22" s="58"/>
      <c r="P22" s="7" t="s">
        <v>150</v>
      </c>
      <c r="R22" s="7"/>
    </row>
    <row r="23" spans="1:19" ht="10.8" x14ac:dyDescent="0.25">
      <c r="A23" s="5" t="s">
        <v>290</v>
      </c>
      <c r="C23" s="5" t="s">
        <v>323</v>
      </c>
      <c r="F23" s="6"/>
      <c r="G23" s="5" t="s">
        <v>151</v>
      </c>
      <c r="L23" s="58"/>
      <c r="M23" s="58"/>
      <c r="P23" s="7" t="s">
        <v>152</v>
      </c>
      <c r="R23" s="7"/>
    </row>
    <row r="24" spans="1:19" ht="10.8" x14ac:dyDescent="0.25">
      <c r="A24" s="5" t="s">
        <v>291</v>
      </c>
      <c r="C24" s="5" t="s">
        <v>324</v>
      </c>
      <c r="F24" s="6"/>
      <c r="G24" s="5" t="s">
        <v>153</v>
      </c>
      <c r="L24" s="58"/>
      <c r="M24" s="58"/>
      <c r="P24" s="7" t="s">
        <v>154</v>
      </c>
      <c r="R24" s="7"/>
    </row>
    <row r="25" spans="1:19" ht="10.8" x14ac:dyDescent="0.25">
      <c r="A25" s="5" t="s">
        <v>303</v>
      </c>
      <c r="C25" s="5" t="s">
        <v>308</v>
      </c>
      <c r="F25" s="6"/>
      <c r="G25" s="5" t="s">
        <v>155</v>
      </c>
      <c r="L25" s="58"/>
      <c r="M25" s="58"/>
      <c r="P25" s="7" t="s">
        <v>156</v>
      </c>
      <c r="R25" s="7"/>
    </row>
    <row r="26" spans="1:19" ht="10.8" x14ac:dyDescent="0.25">
      <c r="A26" s="5" t="s">
        <v>304</v>
      </c>
      <c r="C26" s="5" t="s">
        <v>346</v>
      </c>
      <c r="F26" s="6"/>
      <c r="G26" s="5" t="s">
        <v>157</v>
      </c>
      <c r="L26" s="58"/>
      <c r="M26" s="58"/>
      <c r="P26" s="7" t="s">
        <v>158</v>
      </c>
      <c r="R26" s="7"/>
    </row>
    <row r="27" spans="1:19" ht="10.8" x14ac:dyDescent="0.25">
      <c r="A27" s="5" t="s">
        <v>305</v>
      </c>
      <c r="C27" s="5" t="s">
        <v>340</v>
      </c>
      <c r="F27" s="6"/>
      <c r="G27" s="5" t="s">
        <v>159</v>
      </c>
      <c r="L27" s="58"/>
      <c r="P27" s="7" t="s">
        <v>160</v>
      </c>
      <c r="R27" s="7"/>
    </row>
    <row r="28" spans="1:19" ht="10.8" x14ac:dyDescent="0.25">
      <c r="A28" s="5" t="s">
        <v>278</v>
      </c>
      <c r="C28" s="5" t="s">
        <v>343</v>
      </c>
      <c r="F28" s="6"/>
      <c r="G28" s="5" t="s">
        <v>161</v>
      </c>
      <c r="L28" s="58"/>
      <c r="P28" s="7" t="s">
        <v>162</v>
      </c>
      <c r="R28" s="7"/>
    </row>
    <row r="29" spans="1:19" ht="10.8" x14ac:dyDescent="0.25">
      <c r="A29" s="5" t="s">
        <v>292</v>
      </c>
      <c r="C29" s="5" t="s">
        <v>338</v>
      </c>
      <c r="F29" s="6"/>
      <c r="G29" s="5" t="s">
        <v>163</v>
      </c>
      <c r="L29" s="58"/>
      <c r="P29" s="7" t="s">
        <v>164</v>
      </c>
      <c r="R29" s="7"/>
    </row>
    <row r="30" spans="1:19" ht="10.8" x14ac:dyDescent="0.25">
      <c r="A30" s="5" t="s">
        <v>302</v>
      </c>
      <c r="C30" s="5" t="s">
        <v>325</v>
      </c>
      <c r="F30" s="6"/>
      <c r="G30" s="5" t="s">
        <v>165</v>
      </c>
      <c r="L30" s="58"/>
      <c r="P30" s="7" t="s">
        <v>166</v>
      </c>
      <c r="R30" s="7"/>
    </row>
    <row r="31" spans="1:19" ht="10.8" x14ac:dyDescent="0.25">
      <c r="A31" s="5" t="s">
        <v>293</v>
      </c>
      <c r="C31" s="5" t="s">
        <v>326</v>
      </c>
      <c r="F31" s="6"/>
      <c r="G31" s="5" t="s">
        <v>167</v>
      </c>
      <c r="L31" s="58"/>
      <c r="P31" s="7" t="s">
        <v>168</v>
      </c>
      <c r="R31" s="7"/>
    </row>
    <row r="32" spans="1:19" ht="10.8" x14ac:dyDescent="0.25">
      <c r="C32" s="5" t="s">
        <v>327</v>
      </c>
      <c r="F32" s="6"/>
      <c r="G32" s="5" t="s">
        <v>169</v>
      </c>
      <c r="L32" s="58"/>
      <c r="P32" s="7" t="s">
        <v>170</v>
      </c>
      <c r="R32" s="7"/>
    </row>
    <row r="33" spans="3:18" ht="10.8" x14ac:dyDescent="0.25">
      <c r="C33" s="5" t="s">
        <v>328</v>
      </c>
      <c r="F33" s="6"/>
      <c r="G33" s="5" t="s">
        <v>171</v>
      </c>
      <c r="L33" s="58"/>
      <c r="P33" s="7" t="s">
        <v>172</v>
      </c>
      <c r="R33" s="7"/>
    </row>
    <row r="34" spans="3:18" ht="10.8" x14ac:dyDescent="0.25">
      <c r="C34" s="5" t="s">
        <v>329</v>
      </c>
      <c r="F34" s="6"/>
      <c r="G34" s="5" t="s">
        <v>173</v>
      </c>
      <c r="L34" s="58"/>
      <c r="P34" s="7" t="s">
        <v>174</v>
      </c>
      <c r="R34" s="7"/>
    </row>
    <row r="35" spans="3:18" ht="10.8" x14ac:dyDescent="0.25">
      <c r="C35" s="5" t="s">
        <v>348</v>
      </c>
      <c r="F35" s="6"/>
      <c r="G35" s="5" t="s">
        <v>175</v>
      </c>
      <c r="L35" s="58"/>
      <c r="P35" s="7" t="s">
        <v>176</v>
      </c>
      <c r="R35" s="7"/>
    </row>
    <row r="36" spans="3:18" ht="10.8" x14ac:dyDescent="0.25">
      <c r="C36" s="5" t="s">
        <v>330</v>
      </c>
      <c r="F36" s="6"/>
      <c r="G36" s="5" t="s">
        <v>177</v>
      </c>
      <c r="L36" s="58"/>
      <c r="P36" s="7" t="s">
        <v>178</v>
      </c>
      <c r="R36" s="7"/>
    </row>
    <row r="37" spans="3:18" ht="10.8" x14ac:dyDescent="0.25">
      <c r="C37" s="5" t="s">
        <v>345</v>
      </c>
      <c r="F37" s="6"/>
      <c r="G37" s="5" t="s">
        <v>179</v>
      </c>
      <c r="L37" s="58"/>
      <c r="P37" s="7" t="s">
        <v>180</v>
      </c>
      <c r="R37" s="7"/>
    </row>
    <row r="38" spans="3:18" ht="10.8" x14ac:dyDescent="0.25">
      <c r="C38" s="5" t="s">
        <v>347</v>
      </c>
      <c r="F38" s="6"/>
      <c r="G38" s="5" t="s">
        <v>181</v>
      </c>
      <c r="L38" s="58"/>
      <c r="P38" s="7" t="s">
        <v>182</v>
      </c>
      <c r="R38" s="7"/>
    </row>
    <row r="39" spans="3:18" ht="10.8" x14ac:dyDescent="0.25">
      <c r="C39" s="5" t="s">
        <v>344</v>
      </c>
      <c r="F39" s="6"/>
      <c r="G39" s="5" t="s">
        <v>183</v>
      </c>
      <c r="L39" s="58"/>
      <c r="P39" s="7" t="s">
        <v>184</v>
      </c>
      <c r="R39" s="7"/>
    </row>
    <row r="40" spans="3:18" ht="10.8" x14ac:dyDescent="0.25">
      <c r="C40" s="5" t="s">
        <v>331</v>
      </c>
      <c r="F40" s="6"/>
      <c r="G40" s="5" t="s">
        <v>185</v>
      </c>
      <c r="L40" s="58"/>
      <c r="P40" s="7" t="s">
        <v>186</v>
      </c>
      <c r="R40" s="7"/>
    </row>
    <row r="41" spans="3:18" ht="10.8" x14ac:dyDescent="0.25">
      <c r="C41" s="5" t="s">
        <v>341</v>
      </c>
      <c r="F41" s="6"/>
      <c r="G41" s="5" t="s">
        <v>187</v>
      </c>
      <c r="L41" s="58"/>
      <c r="P41" s="7" t="s">
        <v>188</v>
      </c>
      <c r="R41" s="7"/>
    </row>
    <row r="42" spans="3:18" x14ac:dyDescent="0.2">
      <c r="C42" s="5" t="s">
        <v>332</v>
      </c>
      <c r="F42" s="6"/>
      <c r="G42" s="5" t="s">
        <v>189</v>
      </c>
      <c r="L42" s="7"/>
      <c r="P42" s="7" t="s">
        <v>190</v>
      </c>
      <c r="R42" s="7"/>
    </row>
    <row r="43" spans="3:18" x14ac:dyDescent="0.2">
      <c r="C43" s="5" t="s">
        <v>333</v>
      </c>
      <c r="F43" s="6"/>
      <c r="G43" s="5" t="s">
        <v>191</v>
      </c>
      <c r="L43" s="7"/>
      <c r="P43" s="7" t="s">
        <v>192</v>
      </c>
      <c r="R43" s="7"/>
    </row>
    <row r="44" spans="3:18" x14ac:dyDescent="0.2">
      <c r="C44" s="5" t="s">
        <v>334</v>
      </c>
      <c r="F44" s="6"/>
      <c r="G44" s="5" t="s">
        <v>193</v>
      </c>
      <c r="L44" s="7"/>
      <c r="P44" s="7" t="s">
        <v>194</v>
      </c>
      <c r="R44" s="7"/>
    </row>
    <row r="45" spans="3:18" x14ac:dyDescent="0.2">
      <c r="C45" s="5" t="s">
        <v>339</v>
      </c>
      <c r="F45" s="6"/>
      <c r="G45" s="5" t="s">
        <v>195</v>
      </c>
      <c r="L45" s="7"/>
      <c r="P45" s="7" t="s">
        <v>196</v>
      </c>
      <c r="R45" s="7"/>
    </row>
    <row r="46" spans="3:18" x14ac:dyDescent="0.2">
      <c r="F46" s="6"/>
      <c r="G46" s="5" t="s">
        <v>197</v>
      </c>
      <c r="L46" s="7"/>
      <c r="P46" s="7" t="s">
        <v>198</v>
      </c>
      <c r="R46" s="7"/>
    </row>
    <row r="47" spans="3:18" x14ac:dyDescent="0.2">
      <c r="F47" s="6"/>
      <c r="G47" s="5" t="s">
        <v>199</v>
      </c>
      <c r="L47" s="7"/>
      <c r="P47" s="7" t="s">
        <v>200</v>
      </c>
      <c r="R47" s="7"/>
    </row>
    <row r="48" spans="3:18" x14ac:dyDescent="0.2">
      <c r="F48" s="6"/>
      <c r="G48" s="5" t="s">
        <v>201</v>
      </c>
      <c r="L48" s="7"/>
      <c r="P48" s="7" t="s">
        <v>202</v>
      </c>
      <c r="R48" s="7"/>
    </row>
    <row r="49" spans="6:18" x14ac:dyDescent="0.2">
      <c r="F49" s="6"/>
      <c r="G49" s="5" t="s">
        <v>203</v>
      </c>
      <c r="L49" s="7"/>
      <c r="P49" s="7" t="s">
        <v>204</v>
      </c>
      <c r="R49" s="7"/>
    </row>
    <row r="50" spans="6:18" x14ac:dyDescent="0.2">
      <c r="F50" s="6"/>
      <c r="G50" s="5" t="s">
        <v>205</v>
      </c>
      <c r="L50" s="7"/>
      <c r="P50" s="7" t="s">
        <v>206</v>
      </c>
      <c r="R50" s="7"/>
    </row>
    <row r="51" spans="6:18" x14ac:dyDescent="0.2">
      <c r="F51" s="6"/>
      <c r="G51" s="5" t="s">
        <v>207</v>
      </c>
      <c r="L51" s="7"/>
      <c r="P51" s="7" t="s">
        <v>208</v>
      </c>
      <c r="R51" s="7"/>
    </row>
    <row r="52" spans="6:18" x14ac:dyDescent="0.2">
      <c r="F52" s="6"/>
      <c r="G52" s="5" t="s">
        <v>209</v>
      </c>
      <c r="L52" s="7"/>
      <c r="P52" s="7" t="s">
        <v>210</v>
      </c>
      <c r="R52" s="7"/>
    </row>
    <row r="53" spans="6:18" x14ac:dyDescent="0.2">
      <c r="F53" s="6"/>
      <c r="G53" s="5" t="s">
        <v>211</v>
      </c>
      <c r="L53" s="7"/>
      <c r="P53" s="7" t="s">
        <v>212</v>
      </c>
      <c r="R53" s="7"/>
    </row>
    <row r="54" spans="6:18" x14ac:dyDescent="0.2">
      <c r="F54" s="6"/>
      <c r="G54" s="5" t="s">
        <v>213</v>
      </c>
      <c r="L54" s="7"/>
      <c r="P54" s="7" t="s">
        <v>214</v>
      </c>
      <c r="R54" s="7"/>
    </row>
    <row r="55" spans="6:18" x14ac:dyDescent="0.2">
      <c r="F55" s="6"/>
      <c r="G55" s="5" t="s">
        <v>215</v>
      </c>
      <c r="L55" s="7"/>
      <c r="P55" s="7" t="s">
        <v>216</v>
      </c>
      <c r="R55" s="7"/>
    </row>
    <row r="56" spans="6:18" x14ac:dyDescent="0.2">
      <c r="F56" s="6"/>
      <c r="G56" s="5" t="s">
        <v>217</v>
      </c>
      <c r="L56" s="7"/>
      <c r="P56" s="7" t="s">
        <v>218</v>
      </c>
      <c r="R56" s="7"/>
    </row>
    <row r="57" spans="6:18" x14ac:dyDescent="0.2">
      <c r="F57" s="6"/>
      <c r="G57" s="5" t="s">
        <v>219</v>
      </c>
      <c r="L57" s="7"/>
      <c r="P57" s="7" t="s">
        <v>220</v>
      </c>
      <c r="R57" s="7"/>
    </row>
    <row r="58" spans="6:18" x14ac:dyDescent="0.2">
      <c r="F58" s="6"/>
      <c r="G58" s="5" t="s">
        <v>221</v>
      </c>
      <c r="L58" s="7"/>
      <c r="P58" s="7" t="s">
        <v>222</v>
      </c>
      <c r="R58" s="7"/>
    </row>
    <row r="59" spans="6:18" x14ac:dyDescent="0.2">
      <c r="F59" s="6"/>
      <c r="G59" s="5" t="s">
        <v>223</v>
      </c>
      <c r="L59" s="7"/>
      <c r="P59" s="7" t="s">
        <v>224</v>
      </c>
      <c r="R59" s="7"/>
    </row>
    <row r="60" spans="6:18" x14ac:dyDescent="0.2">
      <c r="F60" s="6"/>
      <c r="G60" s="5" t="s">
        <v>225</v>
      </c>
      <c r="L60" s="7"/>
      <c r="P60" s="7" t="s">
        <v>226</v>
      </c>
      <c r="R60" s="7"/>
    </row>
    <row r="61" spans="6:18" x14ac:dyDescent="0.2">
      <c r="F61" s="6"/>
      <c r="G61" s="5" t="s">
        <v>227</v>
      </c>
      <c r="L61" s="7"/>
      <c r="P61" s="7" t="s">
        <v>228</v>
      </c>
      <c r="R61" s="7"/>
    </row>
    <row r="62" spans="6:18" x14ac:dyDescent="0.2">
      <c r="F62" s="6"/>
      <c r="G62" s="5" t="s">
        <v>229</v>
      </c>
      <c r="L62" s="7"/>
      <c r="P62" s="7" t="s">
        <v>230</v>
      </c>
      <c r="R62" s="7"/>
    </row>
    <row r="63" spans="6:18" x14ac:dyDescent="0.2">
      <c r="F63" s="6"/>
      <c r="G63" s="5" t="s">
        <v>231</v>
      </c>
      <c r="L63" s="7"/>
      <c r="P63" s="7" t="s">
        <v>232</v>
      </c>
      <c r="R63" s="7"/>
    </row>
    <row r="64" spans="6:18" x14ac:dyDescent="0.2">
      <c r="F64" s="6"/>
      <c r="G64" s="5" t="s">
        <v>233</v>
      </c>
      <c r="L64" s="7"/>
      <c r="P64" s="7" t="s">
        <v>234</v>
      </c>
      <c r="R64" s="7"/>
    </row>
    <row r="65" spans="6:18" x14ac:dyDescent="0.2">
      <c r="F65" s="6"/>
      <c r="G65" s="5" t="s">
        <v>235</v>
      </c>
      <c r="L65" s="7"/>
      <c r="P65" s="7" t="s">
        <v>236</v>
      </c>
      <c r="R65" s="7"/>
    </row>
    <row r="66" spans="6:18" x14ac:dyDescent="0.2">
      <c r="F66" s="6"/>
      <c r="G66" s="5" t="s">
        <v>237</v>
      </c>
      <c r="L66" s="7"/>
      <c r="P66" s="7" t="s">
        <v>238</v>
      </c>
      <c r="R66" s="7"/>
    </row>
    <row r="67" spans="6:18" x14ac:dyDescent="0.2">
      <c r="F67" s="6"/>
      <c r="G67" s="5" t="s">
        <v>239</v>
      </c>
      <c r="L67" s="7"/>
      <c r="P67" s="7" t="s">
        <v>240</v>
      </c>
      <c r="R67" s="7"/>
    </row>
    <row r="68" spans="6:18" x14ac:dyDescent="0.2">
      <c r="F68" s="6"/>
      <c r="G68" s="5" t="s">
        <v>241</v>
      </c>
      <c r="L68" s="7"/>
      <c r="P68" s="7" t="s">
        <v>242</v>
      </c>
      <c r="R68" s="7"/>
    </row>
    <row r="69" spans="6:18" x14ac:dyDescent="0.2">
      <c r="F69" s="6"/>
      <c r="G69" s="5" t="s">
        <v>243</v>
      </c>
      <c r="L69" s="7"/>
      <c r="P69" s="7" t="s">
        <v>244</v>
      </c>
      <c r="R69" s="7"/>
    </row>
    <row r="70" spans="6:18" x14ac:dyDescent="0.2">
      <c r="F70" s="6"/>
      <c r="G70" s="5" t="s">
        <v>245</v>
      </c>
      <c r="L70" s="7"/>
      <c r="P70" s="7" t="s">
        <v>246</v>
      </c>
      <c r="R70" s="7"/>
    </row>
    <row r="71" spans="6:18" x14ac:dyDescent="0.2">
      <c r="F71" s="6"/>
      <c r="G71" s="5" t="s">
        <v>247</v>
      </c>
      <c r="L71" s="7"/>
      <c r="P71" s="7" t="s">
        <v>248</v>
      </c>
      <c r="R71" s="7"/>
    </row>
    <row r="72" spans="6:18" x14ac:dyDescent="0.2">
      <c r="F72" s="6"/>
      <c r="G72" s="5" t="s">
        <v>249</v>
      </c>
      <c r="L72" s="7"/>
      <c r="P72" s="7" t="s">
        <v>250</v>
      </c>
      <c r="R72" s="7"/>
    </row>
    <row r="73" spans="6:18" x14ac:dyDescent="0.2">
      <c r="F73" s="6"/>
      <c r="G73" s="5" t="s">
        <v>251</v>
      </c>
      <c r="L73" s="7"/>
      <c r="P73" s="7" t="s">
        <v>252</v>
      </c>
      <c r="R73" s="7"/>
    </row>
    <row r="74" spans="6:18" x14ac:dyDescent="0.2">
      <c r="F74" s="6"/>
      <c r="G74" s="5" t="s">
        <v>253</v>
      </c>
      <c r="L74" s="7"/>
      <c r="P74" s="7" t="s">
        <v>254</v>
      </c>
      <c r="R74" s="7"/>
    </row>
    <row r="75" spans="6:18" x14ac:dyDescent="0.2">
      <c r="F75" s="6"/>
      <c r="G75" s="5" t="s">
        <v>255</v>
      </c>
      <c r="L75" s="7"/>
      <c r="R75" s="7"/>
    </row>
    <row r="76" spans="6:18" x14ac:dyDescent="0.2">
      <c r="F76" s="6"/>
      <c r="G76" s="5" t="s">
        <v>256</v>
      </c>
      <c r="L76" s="7"/>
      <c r="R76" s="7"/>
    </row>
    <row r="77" spans="6:18" x14ac:dyDescent="0.2">
      <c r="F77" s="6"/>
      <c r="G77" s="5" t="s">
        <v>257</v>
      </c>
      <c r="L77" s="7"/>
      <c r="R77" s="7"/>
    </row>
    <row r="78" spans="6:18" x14ac:dyDescent="0.2">
      <c r="F78" s="6"/>
      <c r="G78" s="5" t="s">
        <v>258</v>
      </c>
      <c r="L78" s="7"/>
      <c r="R78" s="7"/>
    </row>
    <row r="79" spans="6:18" x14ac:dyDescent="0.2">
      <c r="F79" s="6"/>
      <c r="G79" s="5" t="s">
        <v>259</v>
      </c>
      <c r="L79" s="7"/>
      <c r="R79" s="7"/>
    </row>
    <row r="80" spans="6:18" x14ac:dyDescent="0.2">
      <c r="F80" s="6"/>
      <c r="G80" s="5" t="s">
        <v>260</v>
      </c>
      <c r="L80" s="7"/>
      <c r="R80" s="7"/>
    </row>
    <row r="81" spans="6:18" x14ac:dyDescent="0.2">
      <c r="F81" s="6"/>
      <c r="G81" s="5" t="s">
        <v>261</v>
      </c>
      <c r="L81" s="7"/>
      <c r="R81" s="7"/>
    </row>
    <row r="82" spans="6:18" x14ac:dyDescent="0.2">
      <c r="F82" s="6"/>
      <c r="G82" s="5" t="s">
        <v>262</v>
      </c>
      <c r="L82" s="7"/>
      <c r="R82" s="7"/>
    </row>
    <row r="83" spans="6:18" x14ac:dyDescent="0.2">
      <c r="F83" s="6"/>
      <c r="G83" s="5" t="s">
        <v>263</v>
      </c>
      <c r="L83" s="7"/>
      <c r="R83" s="7"/>
    </row>
    <row r="84" spans="6:18" x14ac:dyDescent="0.2">
      <c r="F84" s="6"/>
      <c r="G84" s="5" t="s">
        <v>264</v>
      </c>
      <c r="L84" s="7"/>
      <c r="R84" s="7"/>
    </row>
    <row r="85" spans="6:18" x14ac:dyDescent="0.2">
      <c r="F85" s="6"/>
      <c r="G85" s="5" t="s">
        <v>265</v>
      </c>
      <c r="L85" s="7"/>
      <c r="R85" s="7"/>
    </row>
    <row r="86" spans="6:18" x14ac:dyDescent="0.2">
      <c r="F86" s="6"/>
      <c r="G86" s="5" t="s">
        <v>266</v>
      </c>
      <c r="L86" s="7"/>
      <c r="R86" s="7"/>
    </row>
    <row r="87" spans="6:18" x14ac:dyDescent="0.2">
      <c r="F87" s="6"/>
      <c r="G87" s="5" t="s">
        <v>267</v>
      </c>
      <c r="L87" s="7"/>
      <c r="R87" s="7"/>
    </row>
    <row r="3504" spans="30:30" x14ac:dyDescent="0.2">
      <c r="AD3504" s="6">
        <v>0.13</v>
      </c>
    </row>
    <row r="3505" spans="30:30" x14ac:dyDescent="0.2">
      <c r="AD3505" s="6">
        <v>0.13</v>
      </c>
    </row>
    <row r="3506" spans="30:30" x14ac:dyDescent="0.2">
      <c r="AD3506" s="6">
        <v>0.13</v>
      </c>
    </row>
  </sheetData>
  <sortState xmlns:xlrd2="http://schemas.microsoft.com/office/spreadsheetml/2017/richdata2" ref="G2:G87">
    <sortCondition ref="G2:G87"/>
  </sortState>
  <conditionalFormatting sqref="A15:A17">
    <cfRule type="duplicateValues" dxfId="10" priority="3"/>
  </conditionalFormatting>
  <conditionalFormatting sqref="A18">
    <cfRule type="duplicateValues" dxfId="9" priority="2"/>
  </conditionalFormatting>
  <conditionalFormatting sqref="B2:B87">
    <cfRule type="duplicateValues" dxfId="8" priority="6"/>
  </conditionalFormatting>
  <conditionalFormatting sqref="C2:C87">
    <cfRule type="duplicateValues" dxfId="7" priority="8"/>
  </conditionalFormatting>
  <conditionalFormatting sqref="D2:D24 D26:D87 A22">
    <cfRule type="duplicateValues" dxfId="6" priority="5"/>
  </conditionalFormatting>
  <conditionalFormatting sqref="D18">
    <cfRule type="duplicateValues" dxfId="5" priority="1"/>
  </conditionalFormatting>
  <conditionalFormatting sqref="E13">
    <cfRule type="duplicateValues" dxfId="4" priority="4"/>
  </conditionalFormatting>
  <conditionalFormatting sqref="G2:G87">
    <cfRule type="duplicateValues" dxfId="3" priority="9"/>
  </conditionalFormatting>
  <pageMargins left="0.7" right="0.7" top="0.75" bottom="0.75" header="0.3" footer="0.3"/>
  <tableParts count="18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2A24B-6F86-49F0-A1AD-597518264221}">
  <dimension ref="A1:AA29"/>
  <sheetViews>
    <sheetView showGridLines="0" workbookViewId="0">
      <selection activeCell="M36" sqref="M36"/>
    </sheetView>
  </sheetViews>
  <sheetFormatPr defaultRowHeight="14.4" x14ac:dyDescent="0.3"/>
  <cols>
    <col min="2" max="2" width="21.33203125" customWidth="1"/>
    <col min="15" max="15" width="3.77734375" bestFit="1" customWidth="1"/>
    <col min="16" max="16" width="4.109375" bestFit="1" customWidth="1"/>
    <col min="17" max="17" width="21.5546875" bestFit="1" customWidth="1"/>
    <col min="18" max="19" width="6.33203125" bestFit="1" customWidth="1"/>
    <col min="20" max="21" width="8.44140625" bestFit="1" customWidth="1"/>
    <col min="22" max="22" width="15.6640625" bestFit="1" customWidth="1"/>
    <col min="23" max="24" width="10" bestFit="1" customWidth="1"/>
    <col min="25" max="25" width="4" bestFit="1" customWidth="1"/>
  </cols>
  <sheetData>
    <row r="1" spans="1:27" x14ac:dyDescent="0.3">
      <c r="A1" s="9"/>
      <c r="B1" s="10" t="s">
        <v>393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1"/>
    </row>
    <row r="2" spans="1:27" x14ac:dyDescent="0.3">
      <c r="A2" s="9"/>
      <c r="B2" s="10"/>
      <c r="C2" s="11">
        <v>1000</v>
      </c>
      <c r="D2" s="1" t="s">
        <v>394</v>
      </c>
      <c r="E2" s="9"/>
      <c r="F2" s="9"/>
      <c r="G2" s="12"/>
      <c r="H2" s="1"/>
      <c r="I2" s="9"/>
      <c r="J2" s="9"/>
      <c r="K2" s="9"/>
      <c r="L2" s="9"/>
      <c r="M2" s="9"/>
      <c r="N2" s="9"/>
      <c r="O2" s="9"/>
      <c r="P2" s="9"/>
      <c r="Q2" s="9"/>
      <c r="R2" s="13"/>
      <c r="S2" s="9"/>
      <c r="T2" s="9"/>
      <c r="U2" s="9"/>
      <c r="V2" s="9"/>
      <c r="W2" s="9"/>
      <c r="X2" s="9"/>
      <c r="Y2" s="9"/>
      <c r="Z2" s="9"/>
      <c r="AA2" s="1"/>
    </row>
    <row r="3" spans="1:27" x14ac:dyDescent="0.3">
      <c r="A3" s="10"/>
      <c r="B3" s="10"/>
      <c r="C3" s="63" t="s">
        <v>268</v>
      </c>
      <c r="D3" s="64"/>
      <c r="E3" s="63" t="s">
        <v>268</v>
      </c>
      <c r="F3" s="64"/>
      <c r="G3" s="14" t="s">
        <v>13</v>
      </c>
      <c r="H3" s="15" t="s">
        <v>13</v>
      </c>
      <c r="I3" s="14" t="s">
        <v>13</v>
      </c>
      <c r="J3" s="15" t="s">
        <v>13</v>
      </c>
      <c r="K3" s="65" t="s">
        <v>268</v>
      </c>
      <c r="L3" s="66"/>
      <c r="M3" s="63" t="s">
        <v>268</v>
      </c>
      <c r="N3" s="64"/>
      <c r="O3" s="9"/>
      <c r="P3" s="9"/>
      <c r="Q3" s="13"/>
      <c r="R3" s="13"/>
      <c r="S3" s="9"/>
      <c r="T3" s="9"/>
      <c r="U3" s="9"/>
      <c r="V3" s="9"/>
      <c r="W3" s="9"/>
      <c r="X3" s="9"/>
      <c r="Y3" s="9"/>
      <c r="Z3" s="9"/>
      <c r="AA3" s="1"/>
    </row>
    <row r="4" spans="1:27" x14ac:dyDescent="0.3">
      <c r="A4" s="16" t="s">
        <v>395</v>
      </c>
      <c r="B4" s="16"/>
      <c r="C4" s="67" t="s">
        <v>396</v>
      </c>
      <c r="D4" s="68"/>
      <c r="E4" s="67" t="s">
        <v>397</v>
      </c>
      <c r="F4" s="68"/>
      <c r="G4" s="17" t="s">
        <v>398</v>
      </c>
      <c r="H4" s="15" t="s">
        <v>399</v>
      </c>
      <c r="I4" s="17" t="s">
        <v>400</v>
      </c>
      <c r="J4" s="15" t="s">
        <v>401</v>
      </c>
      <c r="K4" s="67" t="s">
        <v>402</v>
      </c>
      <c r="L4" s="68"/>
      <c r="M4" s="67" t="s">
        <v>403</v>
      </c>
      <c r="N4" s="68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x14ac:dyDescent="0.3">
      <c r="A5" s="18" t="s">
        <v>404</v>
      </c>
      <c r="B5" s="18"/>
      <c r="C5" s="59">
        <v>34.700000000000003</v>
      </c>
      <c r="D5" s="60"/>
      <c r="E5" s="59"/>
      <c r="F5" s="60"/>
      <c r="G5" s="19">
        <v>5.3</v>
      </c>
      <c r="H5" s="20"/>
      <c r="I5" s="19"/>
      <c r="J5" s="19"/>
      <c r="K5" s="59"/>
      <c r="L5" s="60"/>
      <c r="M5" s="59"/>
      <c r="N5" s="60"/>
      <c r="O5" s="21">
        <f>SUM(C5:N5)</f>
        <v>40</v>
      </c>
      <c r="P5" s="22"/>
      <c r="Q5" s="23"/>
      <c r="R5" s="23"/>
      <c r="S5" s="24"/>
      <c r="T5" s="22"/>
      <c r="U5" s="22"/>
      <c r="V5" s="22"/>
      <c r="W5" s="22"/>
      <c r="X5" s="22"/>
      <c r="Y5" s="22"/>
      <c r="Z5" s="22"/>
      <c r="AA5" s="22"/>
    </row>
    <row r="6" spans="1:27" x14ac:dyDescent="0.3">
      <c r="A6" s="25" t="s">
        <v>405</v>
      </c>
      <c r="B6" s="25"/>
      <c r="C6" s="61">
        <f>C5/$O$5</f>
        <v>0.86750000000000005</v>
      </c>
      <c r="D6" s="62"/>
      <c r="E6" s="61">
        <f>E5/$O$5</f>
        <v>0</v>
      </c>
      <c r="F6" s="62"/>
      <c r="G6" s="26">
        <f>G5/$O$5</f>
        <v>0.13250000000000001</v>
      </c>
      <c r="H6" s="26">
        <f>H5/$O$5</f>
        <v>0</v>
      </c>
      <c r="I6" s="26">
        <f>I5/$O$5</f>
        <v>0</v>
      </c>
      <c r="J6" s="26">
        <f>J5/$O$5</f>
        <v>0</v>
      </c>
      <c r="K6" s="61">
        <f>K5/$O$5</f>
        <v>0</v>
      </c>
      <c r="L6" s="62"/>
      <c r="M6" s="61">
        <f>M5/$O$5</f>
        <v>0</v>
      </c>
      <c r="N6" s="62"/>
      <c r="O6" s="27">
        <f>SUM(C6:N6)</f>
        <v>1</v>
      </c>
      <c r="P6" s="9"/>
      <c r="Q6" s="28"/>
      <c r="R6" s="28"/>
      <c r="S6" s="1"/>
      <c r="T6" s="9"/>
      <c r="U6" s="9"/>
      <c r="V6" s="9"/>
      <c r="W6" s="9"/>
      <c r="X6" s="9"/>
      <c r="Y6" s="9"/>
      <c r="Z6" s="9"/>
      <c r="AA6" s="9"/>
    </row>
    <row r="7" spans="1:27" x14ac:dyDescent="0.3">
      <c r="A7" s="29" t="s">
        <v>406</v>
      </c>
      <c r="B7" s="29"/>
      <c r="C7" s="30" t="s">
        <v>407</v>
      </c>
      <c r="D7" s="30" t="s">
        <v>408</v>
      </c>
      <c r="E7" s="30" t="s">
        <v>407</v>
      </c>
      <c r="F7" s="30" t="s">
        <v>408</v>
      </c>
      <c r="G7" s="30" t="s">
        <v>409</v>
      </c>
      <c r="H7" s="30" t="s">
        <v>409</v>
      </c>
      <c r="I7" s="30" t="s">
        <v>409</v>
      </c>
      <c r="J7" s="30" t="s">
        <v>409</v>
      </c>
      <c r="K7" s="30" t="s">
        <v>407</v>
      </c>
      <c r="L7" s="30" t="s">
        <v>408</v>
      </c>
      <c r="M7" s="30" t="s">
        <v>407</v>
      </c>
      <c r="N7" s="30" t="s">
        <v>408</v>
      </c>
      <c r="O7" s="9"/>
      <c r="P7" s="9"/>
      <c r="Q7" s="31"/>
      <c r="R7" s="31"/>
      <c r="S7" s="1"/>
      <c r="T7" s="9"/>
      <c r="U7" s="9"/>
      <c r="V7" s="9"/>
      <c r="W7" s="9"/>
      <c r="X7" s="9"/>
      <c r="Y7" s="9"/>
      <c r="Z7" s="9"/>
      <c r="AA7" s="9"/>
    </row>
    <row r="8" spans="1:27" x14ac:dyDescent="0.3">
      <c r="A8" s="29" t="s">
        <v>410</v>
      </c>
      <c r="B8" s="29"/>
      <c r="C8" s="32">
        <v>1</v>
      </c>
      <c r="D8" s="33">
        <f>1-C8</f>
        <v>0</v>
      </c>
      <c r="E8" s="32"/>
      <c r="F8" s="33">
        <f>1-E8</f>
        <v>1</v>
      </c>
      <c r="G8" s="32"/>
      <c r="H8" s="32"/>
      <c r="I8" s="32"/>
      <c r="J8" s="32"/>
      <c r="K8" s="32"/>
      <c r="L8" s="33">
        <f>1-K8</f>
        <v>1</v>
      </c>
      <c r="M8" s="32"/>
      <c r="N8" s="33">
        <f>1-M8</f>
        <v>1</v>
      </c>
      <c r="O8" s="34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x14ac:dyDescent="0.3">
      <c r="A9" s="29"/>
      <c r="B9" s="29"/>
      <c r="C9" s="35">
        <f>IF(C10-SUM(C16:C20)&lt;=0,0,(C10-SUM(C16:C20)))</f>
        <v>0.99299999999999999</v>
      </c>
      <c r="D9" s="35">
        <f>IF(D10-SUM(D16:D20)&lt;=0,0,(D10-SUM(D16:D20)))</f>
        <v>0</v>
      </c>
      <c r="E9" s="35">
        <f>IF(E10-SUM(E16:E20)&lt;=0,0,(E10-SUM(E16:E20)))</f>
        <v>0</v>
      </c>
      <c r="F9" s="35">
        <f>IF(F10-SUM(F16:F20)&lt;=0,0,(F10-SUM(F16:F20)))</f>
        <v>0</v>
      </c>
      <c r="G9" s="35"/>
      <c r="H9" s="35"/>
      <c r="I9" s="35"/>
      <c r="J9" s="35"/>
      <c r="K9" s="35"/>
      <c r="L9" s="35">
        <f>IF(L10-SUM(L16:L20)&lt;=0,0,(L10-SUM(L16:L20)))</f>
        <v>0</v>
      </c>
      <c r="M9" s="35">
        <f>IF(M10-SUM(M16:M20)&lt;=0,0,(M10-SUM(M16:M20)))</f>
        <v>0</v>
      </c>
      <c r="N9" s="35">
        <f>IF(N10-SUM(N16:N20)&lt;=0,0,(N10-SUM(N16:N20)))</f>
        <v>0</v>
      </c>
      <c r="O9" s="36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x14ac:dyDescent="0.3">
      <c r="A10" s="29" t="s">
        <v>0</v>
      </c>
      <c r="B10" s="32" t="s">
        <v>282</v>
      </c>
      <c r="C10" s="32">
        <v>1</v>
      </c>
      <c r="D10" s="35"/>
      <c r="E10" s="32"/>
      <c r="F10" s="35"/>
      <c r="G10" s="35"/>
      <c r="H10" s="35"/>
      <c r="I10" s="35"/>
      <c r="J10" s="35"/>
      <c r="K10" s="37"/>
      <c r="L10" s="35"/>
      <c r="M10" s="37"/>
      <c r="N10" s="35"/>
      <c r="O10" s="34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spans="1:27" x14ac:dyDescent="0.3">
      <c r="A11" s="29"/>
      <c r="B11" s="32"/>
      <c r="C11" s="35">
        <f>IF(C12-SUM(C16:C20)&lt;=0,0,(C12-SUM(C16:C20)))</f>
        <v>0</v>
      </c>
      <c r="D11" s="35">
        <f>IF(D12-SUM(D16:D20)&lt;=0,0,(D12-SUM(D16:D20)))</f>
        <v>0</v>
      </c>
      <c r="E11" s="35">
        <f>IF(E12-SUM(E16:E20)&lt;=0,0,(E12-SUM(E16:E20)))</f>
        <v>0</v>
      </c>
      <c r="F11" s="35">
        <f>IF(F12-SUM(F13,F16:F20)&lt;=0,0,(F12-SUM(F13,F16:F20)))</f>
        <v>0</v>
      </c>
      <c r="G11" s="35"/>
      <c r="H11" s="35"/>
      <c r="I11" s="35"/>
      <c r="J11" s="35"/>
      <c r="K11" s="35"/>
      <c r="L11" s="35">
        <f>IF(L12-SUM(L16:L20)&lt;=0,0,(L12-SUM(L16:L20)))</f>
        <v>0</v>
      </c>
      <c r="M11" s="35">
        <f>IF(M12-SUM(M16:M20)&lt;=0,0,(M12-SUM(M16:M20)))</f>
        <v>0</v>
      </c>
      <c r="N11" s="35">
        <f>IF(N12-SUM(N16:N20)&lt;=0,0,(N12-SUM(N16:N20)))</f>
        <v>0</v>
      </c>
      <c r="O11" s="36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x14ac:dyDescent="0.3">
      <c r="A12" s="29" t="s">
        <v>411</v>
      </c>
      <c r="B12" s="32"/>
      <c r="C12" s="37"/>
      <c r="D12" s="32"/>
      <c r="E12" s="37"/>
      <c r="F12" s="32"/>
      <c r="G12" s="35"/>
      <c r="H12" s="35"/>
      <c r="I12" s="35"/>
      <c r="J12" s="35"/>
      <c r="K12" s="37"/>
      <c r="L12" s="32"/>
      <c r="M12" s="37"/>
      <c r="N12" s="32"/>
      <c r="O12" s="34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spans="1:27" x14ac:dyDescent="0.3">
      <c r="A13" s="29"/>
      <c r="B13" s="32"/>
      <c r="C13" s="35"/>
      <c r="D13" s="35"/>
      <c r="E13" s="35"/>
      <c r="F13" s="35">
        <f>IF(F14-SUM(F16:F20)&lt;=0,0,(F14-SUM(F16:F20)))</f>
        <v>0</v>
      </c>
      <c r="G13" s="35">
        <f>IF(G14-SUM(G16:G20)&lt;=0,0,(G14-SUM(G16:G20)))</f>
        <v>0</v>
      </c>
      <c r="H13" s="35"/>
      <c r="I13" s="35"/>
      <c r="J13" s="35"/>
      <c r="K13" s="35"/>
      <c r="L13" s="35">
        <f>IF(L14-SUM(L16:L20)&lt;=0,0,(L14-SUM(L16:L20)))</f>
        <v>0</v>
      </c>
      <c r="M13" s="35">
        <f>IF(M14-SUM(M16:M20)&lt;=0,0,(M14-SUM(M16:M20)))</f>
        <v>0</v>
      </c>
      <c r="N13" s="35">
        <f>IF(N14-SUM(N16:N20)&lt;=0,0,(N14-SUM(N16:N20)))</f>
        <v>0</v>
      </c>
      <c r="O13" s="36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x14ac:dyDescent="0.3">
      <c r="A14" s="29" t="s">
        <v>412</v>
      </c>
      <c r="B14" s="32"/>
      <c r="C14" s="37"/>
      <c r="D14" s="32"/>
      <c r="E14" s="37"/>
      <c r="F14" s="32"/>
      <c r="G14" s="35"/>
      <c r="H14" s="35"/>
      <c r="I14" s="35"/>
      <c r="J14" s="35"/>
      <c r="K14" s="37"/>
      <c r="L14" s="32"/>
      <c r="M14" s="37"/>
      <c r="N14" s="32"/>
      <c r="O14" s="34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 spans="1:27" x14ac:dyDescent="0.3">
      <c r="A15" s="29" t="s">
        <v>1</v>
      </c>
      <c r="B15" s="32"/>
      <c r="C15" s="35"/>
      <c r="D15" s="35"/>
      <c r="E15" s="35"/>
      <c r="F15" s="35"/>
      <c r="G15" s="35">
        <v>1</v>
      </c>
      <c r="H15" s="35">
        <f>H8-SUM(H16:H20)</f>
        <v>0</v>
      </c>
      <c r="I15" s="35">
        <f>I8-SUM(I16:I20)</f>
        <v>0</v>
      </c>
      <c r="J15" s="35">
        <f>J8-SUM(J16:J20)</f>
        <v>0</v>
      </c>
      <c r="K15" s="35"/>
      <c r="L15" s="35"/>
      <c r="M15" s="35"/>
      <c r="N15" s="35"/>
      <c r="O15" s="34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 spans="1:27" x14ac:dyDescent="0.3">
      <c r="A16" s="29" t="s">
        <v>413</v>
      </c>
      <c r="B16" s="32" t="s">
        <v>315</v>
      </c>
      <c r="C16" s="37">
        <v>7.0000000000000001E-3</v>
      </c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4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 spans="1:27" x14ac:dyDescent="0.3">
      <c r="A17" s="29" t="s">
        <v>414</v>
      </c>
      <c r="B17" s="32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4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 spans="1:27" x14ac:dyDescent="0.3">
      <c r="A18" s="29" t="s">
        <v>415</v>
      </c>
      <c r="B18" s="32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4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 spans="1:27" x14ac:dyDescent="0.3">
      <c r="A19" s="29" t="s">
        <v>416</v>
      </c>
      <c r="B19" s="32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4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 spans="1:27" x14ac:dyDescent="0.3">
      <c r="A20" s="29" t="s">
        <v>417</v>
      </c>
      <c r="B20" s="32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4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 spans="1:27" x14ac:dyDescent="0.3">
      <c r="A21" s="38"/>
      <c r="B21" s="39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34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spans="1:27" x14ac:dyDescent="0.3">
      <c r="A22" s="41"/>
      <c r="B22" s="42"/>
      <c r="C22" s="43" t="s">
        <v>418</v>
      </c>
      <c r="D22" s="43" t="s">
        <v>419</v>
      </c>
      <c r="E22" s="44" t="s">
        <v>420</v>
      </c>
      <c r="F22" s="45"/>
      <c r="G22" s="45"/>
      <c r="H22" s="45"/>
      <c r="I22" s="45"/>
      <c r="J22" s="45"/>
      <c r="K22" s="45"/>
      <c r="L22" s="45"/>
      <c r="M22" s="45"/>
      <c r="N22" s="45"/>
      <c r="O22" s="34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spans="1:27" x14ac:dyDescent="0.3">
      <c r="A23" s="29" t="s">
        <v>421</v>
      </c>
      <c r="B23" s="32" t="s">
        <v>386</v>
      </c>
      <c r="C23" s="35">
        <f>_xlfn.XLOOKUP(B23,Surfactant[Surfactant],Surfactant[Surf_conc.])</f>
        <v>1</v>
      </c>
      <c r="D23" s="46">
        <v>6.0000000000000001E-3</v>
      </c>
      <c r="E23" s="47">
        <f>IFERROR(1000*D23/C23,0)</f>
        <v>6</v>
      </c>
      <c r="F23" s="45"/>
      <c r="G23" s="45"/>
      <c r="H23" s="45"/>
      <c r="I23" s="45"/>
      <c r="J23" s="45"/>
      <c r="K23" s="45"/>
      <c r="L23" s="45"/>
      <c r="M23" s="45"/>
      <c r="N23" s="45"/>
      <c r="O23" s="34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1:27" x14ac:dyDescent="0.3">
      <c r="A24" s="29" t="s">
        <v>422</v>
      </c>
      <c r="B24" s="32"/>
      <c r="C24" s="35" t="e">
        <f>_xlfn.XLOOKUP(B24,Surfactant[Surfactant],Surfactant[Surf_conc.])</f>
        <v>#N/A</v>
      </c>
      <c r="D24" s="32"/>
      <c r="E24" s="47">
        <f>IFERROR(1000*D24/C24,0)</f>
        <v>0</v>
      </c>
      <c r="F24" s="45"/>
      <c r="G24" s="45"/>
      <c r="H24" s="45"/>
      <c r="I24" s="45"/>
      <c r="J24" s="45"/>
      <c r="K24" s="45"/>
      <c r="L24" s="45"/>
      <c r="M24" s="45"/>
      <c r="N24" s="45"/>
      <c r="O24" s="34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1:27" x14ac:dyDescent="0.3">
      <c r="A25" s="29" t="s">
        <v>423</v>
      </c>
      <c r="B25" s="32"/>
      <c r="C25" s="35" t="e">
        <f>_xlfn.XLOOKUP(B25,Surfactant[Surfactant],Surfactant[Surf_conc.])</f>
        <v>#N/A</v>
      </c>
      <c r="D25" s="32"/>
      <c r="E25" s="47">
        <f>IFERROR(1000*D25/C25,0)</f>
        <v>0</v>
      </c>
      <c r="F25" s="45"/>
      <c r="G25" s="45"/>
      <c r="H25" s="45"/>
      <c r="I25" s="45"/>
      <c r="J25" s="45"/>
      <c r="K25" s="45"/>
      <c r="L25" s="45"/>
      <c r="M25" s="45"/>
      <c r="N25" s="45"/>
      <c r="O25" s="34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1:27" x14ac:dyDescent="0.3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1:27" x14ac:dyDescent="0.3">
      <c r="A27" s="48" t="s">
        <v>0</v>
      </c>
      <c r="B27" s="48" t="s">
        <v>411</v>
      </c>
      <c r="C27" s="48" t="s">
        <v>412</v>
      </c>
      <c r="D27" s="48" t="s">
        <v>1</v>
      </c>
      <c r="E27" s="48" t="s">
        <v>413</v>
      </c>
      <c r="F27" s="48" t="s">
        <v>414</v>
      </c>
      <c r="G27" s="48" t="s">
        <v>415</v>
      </c>
      <c r="H27" s="48" t="s">
        <v>416</v>
      </c>
      <c r="I27" s="48" t="s">
        <v>417</v>
      </c>
      <c r="J27" s="48" t="s">
        <v>421</v>
      </c>
      <c r="K27" s="48" t="s">
        <v>422</v>
      </c>
      <c r="L27" s="48" t="s">
        <v>423</v>
      </c>
      <c r="M27" s="48" t="s">
        <v>0</v>
      </c>
      <c r="N27" s="48" t="s">
        <v>411</v>
      </c>
      <c r="O27" s="48" t="s">
        <v>412</v>
      </c>
      <c r="P27" s="48" t="s">
        <v>1</v>
      </c>
      <c r="Q27" s="48" t="s">
        <v>413</v>
      </c>
      <c r="R27" s="48" t="s">
        <v>414</v>
      </c>
      <c r="S27" s="48" t="s">
        <v>415</v>
      </c>
      <c r="T27" s="48" t="s">
        <v>416</v>
      </c>
      <c r="U27" s="48" t="s">
        <v>417</v>
      </c>
      <c r="V27" s="48" t="s">
        <v>421</v>
      </c>
      <c r="W27" s="48" t="s">
        <v>422</v>
      </c>
      <c r="X27" s="48" t="s">
        <v>423</v>
      </c>
      <c r="Y27" s="48" t="s">
        <v>419</v>
      </c>
      <c r="Z27" s="22"/>
      <c r="AA27" s="22"/>
    </row>
    <row r="28" spans="1:27" x14ac:dyDescent="0.3">
      <c r="A28" s="49">
        <f>((C6*C8*C9)+(E6*E8*E9)+(K6*K8*K9)+(M6*M8*M9))*$C$2</f>
        <v>861.42750000000001</v>
      </c>
      <c r="B28" s="49">
        <f>((C6*D8*D11)+(E6*F8*F11)+(K6*L8*L11)+(M6*N8*N11)+(C6*C8*C11)+(E6*E8*E11)+(K6*K8*K11)+(M6*M8*M11))*$C$2</f>
        <v>0</v>
      </c>
      <c r="C28" s="49">
        <f>((C6*D8*D13)+(E6*F8*F13)+(K6*L8*L13)+(M6*N8*N13)+(C6*E54*C13)+(K6*K8*K13)+(M6*M8*M13))*$C$2</f>
        <v>0</v>
      </c>
      <c r="D28" s="50">
        <f>((G15*G6)+(H15*H6)+(I15*I6)+(J15*J6))*C2</f>
        <v>132.5</v>
      </c>
      <c r="E28" s="50">
        <f>((C16*$C$8*$C$6)+(E16*$E$8*$E$6)+(K16*$K$8*$K$6)+(M16*$M$8*$M$6)+(D16*$D$8*$C$6)+(F16*$F$8*$E$6)+(G16*$G$8*$G$6)+(H16*$H$8*$H$6)+(I16*$I$8*$I$6)+(J16*$J$8*$J$6)+(L16*$L$8*$K$6)+(N16*$N$8*$M$6))*$C$2</f>
        <v>6.0725000000000007</v>
      </c>
      <c r="F28" s="50">
        <f>((C17*$C$8*$C$6)+(E17*$E$8*$E$6)+(K17*$K$8*$K$6)+(M17*$M$8*$M$6)+(D17*$D$8*$C$6)+(F17*$F$8*$E$6)+(G17*$G$8*$G$6)+(H17*$H$8*$H$6)+(I17*$I$8*$I$6)+(J17*$J$8*$J$6)+(L17*$L$8*$K$6)+(N17*$N$8*$M$6))*$C$2</f>
        <v>0</v>
      </c>
      <c r="G28" s="50">
        <f>((C18*$C$8*$C$6)+(E18*$E$8*$E$6)+(K18*$K$8*$K$6)+(M18*$M$8*$M$6)+(D18*$D$8*$C$6)+(F18*$F$8*$E$6)+(G18*$G$8*$G$6)+(H18*$H$8*$H$6)+(I18*$I$8*$I$6)+(J18*$J$8*$J$6)+(L18*$L$8*$K$6)+(N18*$N$8*$M$6))*$C$2</f>
        <v>0</v>
      </c>
      <c r="H28" s="50">
        <f>((C19*$C$8*$C$6)+(E19*$E$8*$E$6)+(K19*$K$8*$K$6)+(M19*$M$8*$M$6)+(D19*$D$8*$C$6)+(F19*$F$8*$E$6)+(G19*$G$8*$G$6)+(H19*$H$8*$H$6)+(I19*$I$8*$I$6)+(J19*$J$8*$J$6)+(L19*$L$8*$K$6)+(N19*$N$8*$M$6))*$C$2</f>
        <v>0</v>
      </c>
      <c r="I28" s="50">
        <f>((C20*$C$8*$C$6)+(E20*$E$8*$E$6)+(K20*$K$8*$K$6)+(M20*$M$8*$M$6)+(D20*$D$8*$C$6)+(F20*$F$8*$E$6)+(G20*$G$8*$G$6)+(H20*$H$8*$H$6)+(I20*$I$8*$I$6)+(J20*$J$8*$J$6)+(L20*$L$8*$K$6)+(N20*$N$8*$M$6))*$C$2</f>
        <v>0</v>
      </c>
      <c r="J28" s="51">
        <f>E23</f>
        <v>6</v>
      </c>
      <c r="K28" s="51">
        <f>E24</f>
        <v>0</v>
      </c>
      <c r="L28" s="51">
        <f>E25</f>
        <v>0</v>
      </c>
      <c r="M28" s="52" t="str">
        <f>B10</f>
        <v>PPMF - MR 2001</v>
      </c>
      <c r="N28" s="52">
        <f>B12</f>
        <v>0</v>
      </c>
      <c r="O28" s="52">
        <f>B14</f>
        <v>0</v>
      </c>
      <c r="P28" s="53">
        <f>B15</f>
        <v>0</v>
      </c>
      <c r="Q28" s="53" t="str">
        <f>B16</f>
        <v>Pig - CC10084467BG bílá 60%</v>
      </c>
      <c r="R28" s="53">
        <f>B17</f>
        <v>0</v>
      </c>
      <c r="S28" s="53">
        <f>B18</f>
        <v>0</v>
      </c>
      <c r="T28" s="53">
        <f>B19</f>
        <v>0</v>
      </c>
      <c r="U28" s="52">
        <f>B20</f>
        <v>0</v>
      </c>
      <c r="V28" s="53" t="str">
        <f>B23</f>
        <v>Surf - Stantex S 6327</v>
      </c>
      <c r="W28" s="53">
        <f>B24</f>
        <v>0</v>
      </c>
      <c r="X28" s="52">
        <f>B25</f>
        <v>0</v>
      </c>
      <c r="Y28" s="52">
        <f>D23</f>
        <v>6.0000000000000001E-3</v>
      </c>
      <c r="Z28" s="22"/>
      <c r="AA28" s="22"/>
    </row>
    <row r="29" spans="1:27" x14ac:dyDescent="0.3">
      <c r="A29" s="54">
        <f>SUM(A28:I28)</f>
        <v>1000</v>
      </c>
      <c r="B29" s="55"/>
      <c r="C29" s="55"/>
      <c r="D29" s="55"/>
      <c r="E29" s="56">
        <f>E28/1000</f>
        <v>6.0725000000000006E-3</v>
      </c>
      <c r="F29" s="56">
        <f>F28/1000</f>
        <v>0</v>
      </c>
      <c r="G29" s="56">
        <f>G28/1000</f>
        <v>0</v>
      </c>
      <c r="H29" s="56">
        <f>H28/1000</f>
        <v>0</v>
      </c>
      <c r="I29" s="56">
        <f>I28/1000</f>
        <v>0</v>
      </c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22"/>
      <c r="Z29" s="22"/>
      <c r="AA29" s="22"/>
    </row>
  </sheetData>
  <mergeCells count="16">
    <mergeCell ref="C3:D3"/>
    <mergeCell ref="E3:F3"/>
    <mergeCell ref="K3:L3"/>
    <mergeCell ref="M3:N3"/>
    <mergeCell ref="C4:D4"/>
    <mergeCell ref="E4:F4"/>
    <mergeCell ref="K4:L4"/>
    <mergeCell ref="M4:N4"/>
    <mergeCell ref="C5:D5"/>
    <mergeCell ref="E5:F5"/>
    <mergeCell ref="K5:L5"/>
    <mergeCell ref="M5:N5"/>
    <mergeCell ref="C6:D6"/>
    <mergeCell ref="E6:F6"/>
    <mergeCell ref="K6:L6"/>
    <mergeCell ref="M6:N6"/>
  </mergeCells>
  <conditionalFormatting sqref="A29">
    <cfRule type="cellIs" dxfId="2" priority="1" operator="notEqual">
      <formula>1000</formula>
    </cfRule>
    <cfRule type="cellIs" dxfId="1" priority="2" operator="equal">
      <formula>1000</formula>
    </cfRule>
  </conditionalFormatting>
  <conditionalFormatting sqref="B15">
    <cfRule type="duplicateValues" dxfId="0" priority="4"/>
  </conditionalFormatting>
  <dataValidations count="5">
    <dataValidation type="list" allowBlank="1" showInputMessage="1" showErrorMessage="1" sqref="B10:B14" xr:uid="{0004E0DC-B181-412E-9546-AF22382DF408}">
      <formula1>list_sb</formula1>
    </dataValidation>
    <dataValidation type="list" allowBlank="1" showInputMessage="1" showErrorMessage="1" sqref="B23" xr:uid="{0E6DD45F-95CF-47BF-9013-DE48A3E2F9D7}">
      <formula1>list_surfactant</formula1>
    </dataValidation>
    <dataValidation type="list" allowBlank="1" showInputMessage="1" showErrorMessage="1" sqref="B15" xr:uid="{EAB3ACF7-C639-446D-8DA3-68D2056D85E0}">
      <formula1>list_mb</formula1>
    </dataValidation>
    <dataValidation type="list" allowBlank="1" showInputMessage="1" showErrorMessage="1" sqref="B16:B18" xr:uid="{AFAA1D15-B681-4258-B5E9-4E217CA5BC70}">
      <formula1>list_pigment</formula1>
    </dataValidation>
    <dataValidation type="list" allowBlank="1" showInputMessage="1" showErrorMessage="1" sqref="B19:B20" xr:uid="{851C5B0A-8AFF-49DB-A542-C9030CA74372}">
      <formula1>list_additive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Button 1">
              <controlPr defaultSize="0" print="0" autoFill="0" autoPict="0" macro="[1]!výmaz">
                <anchor moveWithCells="1" sizeWithCells="1">
                  <from>
                    <xdr:col>0</xdr:col>
                    <xdr:colOff>487680</xdr:colOff>
                    <xdr:row>1</xdr:row>
                    <xdr:rowOff>30480</xdr:rowOff>
                  </from>
                  <to>
                    <xdr:col>1</xdr:col>
                    <xdr:colOff>403860</xdr:colOff>
                    <xdr:row>2</xdr:row>
                    <xdr:rowOff>160020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2A5800F-F7D8-4FC9-9582-A328F8086536}">
          <x14:formula1>
            <xm:f>Lists!$E$2:$E$21</xm:f>
          </x14:formula1>
          <xm:sqref>B24:B25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Lists</vt:lpstr>
      <vt:lpstr>Calc</vt:lpstr>
      <vt:lpstr>list_additive</vt:lpstr>
      <vt:lpstr>list_mb</vt:lpstr>
      <vt:lpstr>list_pigment</vt:lpstr>
      <vt:lpstr>list_sb</vt:lpstr>
      <vt:lpstr>list_surf_conc</vt:lpstr>
      <vt:lpstr>list_surfactant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Fischer</dc:creator>
  <cp:lastModifiedBy>Martin Fischer</cp:lastModifiedBy>
  <dcterms:created xsi:type="dcterms:W3CDTF">2026-02-24T14:21:38Z</dcterms:created>
  <dcterms:modified xsi:type="dcterms:W3CDTF">2026-03-16T14:46:29Z</dcterms:modified>
</cp:coreProperties>
</file>